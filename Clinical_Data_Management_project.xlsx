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4e16ebf3d39a3e7/"/>
    </mc:Choice>
  </mc:AlternateContent>
  <xr:revisionPtr revIDLastSave="2" documentId="8_{811FED19-5B31-4C18-9A45-A2E2961E0F87}" xr6:coauthVersionLast="47" xr6:coauthVersionMax="47" xr10:uidLastSave="{ACB6B628-2F71-40E2-A49E-820F9BD5F809}"/>
  <bookViews>
    <workbookView xWindow="-108" yWindow="-108" windowWidth="23256" windowHeight="13176" activeTab="3" xr2:uid="{00000000-000D-0000-FFFF-FFFF00000000}"/>
  </bookViews>
  <sheets>
    <sheet name="Raw_Clinical_Data" sheetId="1" r:id="rId1"/>
    <sheet name="Validation_Checks" sheetId="3" r:id="rId2"/>
    <sheet name="Query_Tracker" sheetId="4" r:id="rId3"/>
    <sheet name="Pivot_Analysis" sheetId="6" r:id="rId4"/>
  </sheets>
  <definedNames>
    <definedName name="_xlnm._FilterDatabase" localSheetId="0" hidden="1">Raw_Clinical_Data!$A$1:$J$51</definedName>
    <definedName name="_xlnm._FilterDatabase" localSheetId="1" hidden="1">Validation_Checks!$A$1:$H$51</definedName>
    <definedName name="_xlcn.WorksheetConnection_CDM_Raw_Clinical_Dataset1.xlsxTable11" hidden="1">Table1[]</definedName>
    <definedName name="_xlcn.WorksheetConnection_Query_TrackerA1F141" hidden="1">Query_Tracker!$A$1:$G$14</definedName>
  </definedNames>
  <calcPr calcId="191029"/>
  <pivotCaches>
    <pivotCache cacheId="95" r:id="rId5"/>
    <pivotCache cacheId="100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Query_Tracker!$A$1:$F$14"/>
          <x15:modelTable id="Table1" name="Table1" connection="WorksheetConnection_CDM_Raw_Clinical_Dataset-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B2" i="3" s="1" a="1"/>
  <c r="B2" i="3" s="1"/>
  <c r="C2" i="3" a="1"/>
  <c r="C2" i="3" s="1"/>
  <c r="D2" i="3"/>
  <c r="E2" i="3"/>
  <c r="F2" i="3"/>
  <c r="G2" i="3"/>
  <c r="H2" i="3"/>
  <c r="I2" i="3"/>
  <c r="J2" i="3"/>
  <c r="D3" i="3"/>
  <c r="E3" i="3"/>
  <c r="F3" i="3"/>
  <c r="G3" i="3"/>
  <c r="H3" i="3"/>
  <c r="I3" i="3"/>
  <c r="J3" i="3"/>
  <c r="D4" i="3"/>
  <c r="E4" i="3"/>
  <c r="F4" i="3"/>
  <c r="G4" i="3"/>
  <c r="H4" i="3"/>
  <c r="I4" i="3"/>
  <c r="J4" i="3"/>
  <c r="D5" i="3"/>
  <c r="E5" i="3"/>
  <c r="F5" i="3"/>
  <c r="G5" i="3"/>
  <c r="H5" i="3"/>
  <c r="I5" i="3"/>
  <c r="J5" i="3"/>
  <c r="D6" i="3"/>
  <c r="E6" i="3"/>
  <c r="F6" i="3"/>
  <c r="G6" i="3"/>
  <c r="H6" i="3"/>
  <c r="I6" i="3"/>
  <c r="J6" i="3"/>
  <c r="D7" i="3"/>
  <c r="E7" i="3"/>
  <c r="F7" i="3"/>
  <c r="G7" i="3"/>
  <c r="H7" i="3"/>
  <c r="I7" i="3"/>
  <c r="J7" i="3"/>
  <c r="D8" i="3"/>
  <c r="E8" i="3"/>
  <c r="F8" i="3"/>
  <c r="G8" i="3"/>
  <c r="H8" i="3"/>
  <c r="I8" i="3"/>
  <c r="J8" i="3"/>
  <c r="D9" i="3"/>
  <c r="E9" i="3"/>
  <c r="F9" i="3"/>
  <c r="G9" i="3"/>
  <c r="H9" i="3"/>
  <c r="I9" i="3"/>
  <c r="J9" i="3"/>
  <c r="D10" i="3"/>
  <c r="E10" i="3"/>
  <c r="F10" i="3"/>
  <c r="G10" i="3"/>
  <c r="H10" i="3"/>
  <c r="I10" i="3"/>
  <c r="J10" i="3"/>
  <c r="D11" i="3"/>
  <c r="E11" i="3"/>
  <c r="F11" i="3"/>
  <c r="G11" i="3"/>
  <c r="H11" i="3"/>
  <c r="I11" i="3"/>
  <c r="J11" i="3"/>
  <c r="D12" i="3"/>
  <c r="E12" i="3"/>
  <c r="F12" i="3"/>
  <c r="G12" i="3"/>
  <c r="H12" i="3"/>
  <c r="I12" i="3"/>
  <c r="J12" i="3"/>
  <c r="D13" i="3"/>
  <c r="E13" i="3"/>
  <c r="F13" i="3"/>
  <c r="G13" i="3"/>
  <c r="H13" i="3"/>
  <c r="I13" i="3"/>
  <c r="J13" i="3"/>
  <c r="D14" i="3"/>
  <c r="E14" i="3"/>
  <c r="F14" i="3"/>
  <c r="G14" i="3"/>
  <c r="H14" i="3"/>
  <c r="I14" i="3"/>
  <c r="J14" i="3"/>
  <c r="D15" i="3"/>
  <c r="E15" i="3"/>
  <c r="F15" i="3"/>
  <c r="G15" i="3"/>
  <c r="H15" i="3"/>
  <c r="I15" i="3"/>
  <c r="J15" i="3"/>
  <c r="D16" i="3"/>
  <c r="E16" i="3"/>
  <c r="F16" i="3"/>
  <c r="G16" i="3"/>
  <c r="H16" i="3"/>
  <c r="I16" i="3"/>
  <c r="J16" i="3"/>
  <c r="D17" i="3"/>
  <c r="E17" i="3"/>
  <c r="F17" i="3"/>
  <c r="G17" i="3"/>
  <c r="H17" i="3"/>
  <c r="I17" i="3"/>
  <c r="J17" i="3"/>
  <c r="D18" i="3"/>
  <c r="E18" i="3"/>
  <c r="F18" i="3"/>
  <c r="G18" i="3"/>
  <c r="H18" i="3"/>
  <c r="I18" i="3"/>
  <c r="J18" i="3"/>
  <c r="D19" i="3"/>
  <c r="E19" i="3"/>
  <c r="F19" i="3"/>
  <c r="G19" i="3"/>
  <c r="H19" i="3"/>
  <c r="I19" i="3"/>
  <c r="J19" i="3"/>
  <c r="D20" i="3"/>
  <c r="E20" i="3"/>
  <c r="F20" i="3"/>
  <c r="G20" i="3"/>
  <c r="H20" i="3"/>
  <c r="I20" i="3"/>
  <c r="J20" i="3"/>
  <c r="D21" i="3"/>
  <c r="E21" i="3"/>
  <c r="F21" i="3"/>
  <c r="G21" i="3"/>
  <c r="H21" i="3"/>
  <c r="I21" i="3"/>
  <c r="J21" i="3"/>
  <c r="D22" i="3"/>
  <c r="E22" i="3"/>
  <c r="F22" i="3"/>
  <c r="G22" i="3"/>
  <c r="H22" i="3"/>
  <c r="I22" i="3"/>
  <c r="J22" i="3"/>
  <c r="D23" i="3"/>
  <c r="E23" i="3"/>
  <c r="F23" i="3"/>
  <c r="G23" i="3"/>
  <c r="H23" i="3"/>
  <c r="I23" i="3"/>
  <c r="J23" i="3"/>
  <c r="D24" i="3"/>
  <c r="E24" i="3"/>
  <c r="F24" i="3"/>
  <c r="G24" i="3"/>
  <c r="H24" i="3"/>
  <c r="I24" i="3"/>
  <c r="J24" i="3"/>
  <c r="D25" i="3"/>
  <c r="E25" i="3"/>
  <c r="F25" i="3"/>
  <c r="G25" i="3"/>
  <c r="H25" i="3"/>
  <c r="I25" i="3"/>
  <c r="J25" i="3"/>
  <c r="D26" i="3"/>
  <c r="E26" i="3"/>
  <c r="F26" i="3"/>
  <c r="G26" i="3"/>
  <c r="H26" i="3"/>
  <c r="I26" i="3"/>
  <c r="J26" i="3"/>
  <c r="D27" i="3"/>
  <c r="E27" i="3"/>
  <c r="F27" i="3"/>
  <c r="G27" i="3"/>
  <c r="H27" i="3"/>
  <c r="I27" i="3"/>
  <c r="J27" i="3"/>
  <c r="D28" i="3"/>
  <c r="E28" i="3"/>
  <c r="F28" i="3"/>
  <c r="G28" i="3"/>
  <c r="H28" i="3"/>
  <c r="I28" i="3"/>
  <c r="J28" i="3"/>
  <c r="D29" i="3"/>
  <c r="E29" i="3"/>
  <c r="F29" i="3"/>
  <c r="G29" i="3"/>
  <c r="H29" i="3"/>
  <c r="I29" i="3"/>
  <c r="J29" i="3"/>
  <c r="D30" i="3"/>
  <c r="E30" i="3"/>
  <c r="F30" i="3"/>
  <c r="G30" i="3"/>
  <c r="H30" i="3"/>
  <c r="I30" i="3"/>
  <c r="J30" i="3"/>
  <c r="D31" i="3"/>
  <c r="E31" i="3"/>
  <c r="F31" i="3"/>
  <c r="G31" i="3"/>
  <c r="H31" i="3"/>
  <c r="I31" i="3"/>
  <c r="J31" i="3"/>
  <c r="D32" i="3"/>
  <c r="E32" i="3"/>
  <c r="F32" i="3"/>
  <c r="G32" i="3"/>
  <c r="H32" i="3"/>
  <c r="I32" i="3"/>
  <c r="J32" i="3"/>
  <c r="D33" i="3"/>
  <c r="E33" i="3"/>
  <c r="F33" i="3"/>
  <c r="G33" i="3"/>
  <c r="H33" i="3"/>
  <c r="I33" i="3"/>
  <c r="J33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6" i="3"/>
  <c r="E36" i="3"/>
  <c r="F36" i="3"/>
  <c r="G36" i="3"/>
  <c r="H36" i="3"/>
  <c r="I36" i="3"/>
  <c r="J36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39" i="3"/>
  <c r="E39" i="3"/>
  <c r="F39" i="3"/>
  <c r="G39" i="3"/>
  <c r="H39" i="3"/>
  <c r="I39" i="3"/>
  <c r="J39" i="3"/>
  <c r="D40" i="3"/>
  <c r="E40" i="3"/>
  <c r="F40" i="3"/>
  <c r="G40" i="3"/>
  <c r="H40" i="3"/>
  <c r="I40" i="3"/>
  <c r="J40" i="3"/>
  <c r="D41" i="3"/>
  <c r="E41" i="3"/>
  <c r="F41" i="3"/>
  <c r="G41" i="3"/>
  <c r="H41" i="3"/>
  <c r="I41" i="3"/>
  <c r="J41" i="3"/>
  <c r="D42" i="3"/>
  <c r="E42" i="3"/>
  <c r="F42" i="3"/>
  <c r="G42" i="3"/>
  <c r="H42" i="3"/>
  <c r="I42" i="3"/>
  <c r="J42" i="3"/>
  <c r="D43" i="3"/>
  <c r="E43" i="3"/>
  <c r="F43" i="3"/>
  <c r="G43" i="3"/>
  <c r="H43" i="3"/>
  <c r="I43" i="3"/>
  <c r="J43" i="3"/>
  <c r="D44" i="3"/>
  <c r="E44" i="3"/>
  <c r="F44" i="3"/>
  <c r="G44" i="3"/>
  <c r="H44" i="3"/>
  <c r="I44" i="3"/>
  <c r="J44" i="3"/>
  <c r="D45" i="3"/>
  <c r="E45" i="3"/>
  <c r="F45" i="3"/>
  <c r="G45" i="3"/>
  <c r="H45" i="3"/>
  <c r="I45" i="3"/>
  <c r="J45" i="3"/>
  <c r="D46" i="3"/>
  <c r="E46" i="3"/>
  <c r="F46" i="3"/>
  <c r="G46" i="3"/>
  <c r="H46" i="3"/>
  <c r="I46" i="3"/>
  <c r="J46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49" i="3"/>
  <c r="E49" i="3"/>
  <c r="F49" i="3"/>
  <c r="G49" i="3"/>
  <c r="H49" i="3"/>
  <c r="I49" i="3"/>
  <c r="J49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C3" i="4"/>
  <c r="C4" i="4"/>
  <c r="C5" i="4"/>
  <c r="C6" i="4"/>
  <c r="C7" i="4"/>
  <c r="C8" i="4"/>
  <c r="C9" i="4"/>
  <c r="C10" i="4"/>
  <c r="C11" i="4"/>
  <c r="C12" i="4"/>
  <c r="C13" i="4"/>
  <c r="C14" i="4"/>
  <c r="C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596CF-AD6C-4150-8855-9D12B5F727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A99784-F3CB-43BF-BB3C-2EC11C379818}" name="WorksheetConnection_CDM_Raw_Clinical_Dataset-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DM_Raw_Clinical_Dataset1.xlsxTable11"/>
        </x15:connection>
      </ext>
    </extLst>
  </connection>
  <connection id="3" xr16:uid="{8109CD14-C8C3-4A65-9709-17210A4934C9}" name="WorksheetConnection_Query_Tracker!$A$1:$F$1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Query_TrackerA1F14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<sst xmlns="http://schemas.openxmlformats.org/spreadsheetml/2006/main" count="381" uniqueCount="137">
  <si>
    <t>Subject ID</t>
  </si>
  <si>
    <t>Site ID</t>
  </si>
  <si>
    <t>Visit Date</t>
  </si>
  <si>
    <t>Age</t>
  </si>
  <si>
    <t>Gender</t>
  </si>
  <si>
    <t>Weight (kg)</t>
  </si>
  <si>
    <t>BP_SYS</t>
  </si>
  <si>
    <t>BP_DIA</t>
  </si>
  <si>
    <t>AE Reported</t>
  </si>
  <si>
    <t>Drug Dose</t>
  </si>
  <si>
    <t>SUB001</t>
  </si>
  <si>
    <t>SITE03</t>
  </si>
  <si>
    <t>Female</t>
  </si>
  <si>
    <t>No</t>
  </si>
  <si>
    <t>15mg</t>
  </si>
  <si>
    <t>SUB002</t>
  </si>
  <si>
    <t>SITE04</t>
  </si>
  <si>
    <t>Male</t>
  </si>
  <si>
    <t>10mg</t>
  </si>
  <si>
    <t>SUB003</t>
  </si>
  <si>
    <t>Yes</t>
  </si>
  <si>
    <t>5mg</t>
  </si>
  <si>
    <t>SUB004</t>
  </si>
  <si>
    <t>SITE02</t>
  </si>
  <si>
    <t>SUB005</t>
  </si>
  <si>
    <t>SITE01</t>
  </si>
  <si>
    <t>SUB006</t>
  </si>
  <si>
    <t>SUB007</t>
  </si>
  <si>
    <t>SUB008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</si>
  <si>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</si>
  <si>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</si>
  <si>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</si>
  <si>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</si>
  <si>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</si>
  <si>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</si>
  <si>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</si>
  <si>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</si>
  <si>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</si>
  <si>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</si>
  <si>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</si>
  <si>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</si>
  <si>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</si>
  <si>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</si>
  <si>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</si>
  <si>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ABC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</si>
  <si>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</si>
  <si>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</si>
  <si>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</si>
  <si>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</si>
  <si>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</si>
  <si>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</si>
  <si>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</si>
  <si>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</si>
  <si>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</si>
  <si>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</si>
  <si>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</si>
  <si>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</si>
  <si>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</si>
  <si>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</si>
  <si>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</si>
  <si>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</si>
  <si>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</si>
  <si>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</si>
  <si>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</si>
  <si>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</si>
  <si>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</si>
  <si>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</si>
  <si>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</si>
  <si>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</si>
  <si>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</si>
  <si>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</si>
  <si>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Age Check</t>
  </si>
  <si>
    <t>Date Check</t>
  </si>
  <si>
    <t>Gender Check</t>
  </si>
  <si>
    <t>Weight Check</t>
  </si>
  <si>
    <t>BP_SYS Check</t>
  </si>
  <si>
    <t>BP_DIA Check</t>
  </si>
  <si>
    <t>AE Reported Check</t>
  </si>
  <si>
    <t>Maybe</t>
  </si>
  <si>
    <t>10000mg</t>
  </si>
  <si>
    <t>Drug Dose Check</t>
  </si>
  <si>
    <t>Subject ID Check</t>
  </si>
  <si>
    <t>Query ID</t>
  </si>
  <si>
    <t>Issue Type</t>
  </si>
  <si>
    <t>Description</t>
  </si>
  <si>
    <t>Query Status</t>
  </si>
  <si>
    <t>Resolution</t>
  </si>
  <si>
    <t>Q001</t>
  </si>
  <si>
    <t>Q002</t>
  </si>
  <si>
    <t>Q003</t>
  </si>
  <si>
    <t>Q004</t>
  </si>
  <si>
    <t>Q005</t>
  </si>
  <si>
    <t>Q006</t>
  </si>
  <si>
    <t>Q007</t>
  </si>
  <si>
    <t>Duplicate Subject ID</t>
  </si>
  <si>
    <t>Subject ID is repeated twice</t>
  </si>
  <si>
    <t>Open</t>
  </si>
  <si>
    <t>Awaiting Site Clarification</t>
  </si>
  <si>
    <t>Future Visit Date</t>
  </si>
  <si>
    <t>Visit Date is beyond Current Date</t>
  </si>
  <si>
    <t>In Progress</t>
  </si>
  <si>
    <t>Visit is scheduled for future dates</t>
  </si>
  <si>
    <t xml:space="preserve">Invalid Age </t>
  </si>
  <si>
    <t>Age entered as 250</t>
  </si>
  <si>
    <t>Pending Correction</t>
  </si>
  <si>
    <t>Invalid Gender</t>
  </si>
  <si>
    <t>Gender entered as ABC</t>
  </si>
  <si>
    <t>Awaiting Update</t>
  </si>
  <si>
    <t>Missing Weight</t>
  </si>
  <si>
    <t>Weight Value is Blank</t>
  </si>
  <si>
    <t>Closed</t>
  </si>
  <si>
    <t>Weight Updated</t>
  </si>
  <si>
    <t>Q008</t>
  </si>
  <si>
    <t>Q009</t>
  </si>
  <si>
    <t>Q010</t>
  </si>
  <si>
    <t>Q011</t>
  </si>
  <si>
    <t>Q012</t>
  </si>
  <si>
    <t xml:space="preserve">Invalid Systolic BP </t>
  </si>
  <si>
    <t>Systolic BP is 350</t>
  </si>
  <si>
    <t>Systolic BP is 20</t>
  </si>
  <si>
    <t>Systolic BP is 10</t>
  </si>
  <si>
    <t>Awaiting Site Response</t>
  </si>
  <si>
    <t xml:space="preserve">Invalid Diastolic BP </t>
  </si>
  <si>
    <t>Diastolic BP is -9</t>
  </si>
  <si>
    <t>Diastolic BP is 10</t>
  </si>
  <si>
    <t>Value Corrected</t>
  </si>
  <si>
    <t>Invalid AE Etry</t>
  </si>
  <si>
    <t>AE is entered as Maybe</t>
  </si>
  <si>
    <t>Query Sent to Site for correction</t>
  </si>
  <si>
    <t>Q013</t>
  </si>
  <si>
    <t>Drug Dose is entered as 1000mg</t>
  </si>
  <si>
    <t>Invalid Drug Dose Entry</t>
  </si>
  <si>
    <t>Row Labels</t>
  </si>
  <si>
    <t>Grand Total</t>
  </si>
  <si>
    <t>Count of Subject ID</t>
  </si>
  <si>
    <t>Count of Query ID</t>
  </si>
  <si>
    <t>SITE03/SITE04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</si>
</sst>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[Clinical_Data_Management_project.xlsx]Pivot_Analysis!PivotTable2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Query</a:t>
            </a:r>
            <a:r>
              <a:rPr lang="en-IN" baseline="0"/>
              <a:t> Status Summary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Pivot_Analysis!$A$4:$A$7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A8-44EC-AB54-32EA7C5F5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84782640"/>
        <c:axId val="884783120"/>
      </c:barChart>
      <c:catAx>
        <c:axId val="8847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83120"/>
        <c:crosses val="autoZero"/>
        <c:auto val="1"/>
        <c:lblAlgn val="ctr"/>
        <c:lblOffset val="100"/>
        <c:noMultiLvlLbl val="0"/>
      </c:catAx>
      <c:valAx>
        <c:axId val="8847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[Clinical_Data_Management_project.xlsx]Pivot_Analysis!PivotTable6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</a:t>
            </a:r>
            <a:r>
              <a:rPr lang="en-US" baseline="0"/>
              <a:t> Type Distribution</a:t>
            </a:r>
            <a:endParaRPr lang="en-US"/>
          </a:p>
        </c:rich>
      </c:tx>
      <c:layout>
        <c:manualLayout>
          <c:xMode val="edge"/>
          <c:yMode val="edge"/>
          <c:x val="0.49577700908773686"/>
          <c:y val="0.1248269163204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Pivot_Analysis!$I$4:$I$13</c:f>
              <c:strCache>
                <c:ptCount val="9"/>
                <c:pt idx="0">
                  <c:v>Duplicate Subject ID</c:v>
                </c:pt>
                <c:pt idx="1">
                  <c:v>Future Visit Date</c:v>
                </c:pt>
                <c:pt idx="2">
                  <c:v>Invalid AE Etry</c:v>
                </c:pt>
                <c:pt idx="3">
                  <c:v>Invalid Age </c:v>
                </c:pt>
                <c:pt idx="4">
                  <c:v>Invalid Diastolic BP </c:v>
                </c:pt>
                <c:pt idx="5">
                  <c:v>Invalid Drug Dose Entry</c:v>
                </c:pt>
                <c:pt idx="6">
                  <c:v>Invalid Gender</c:v>
                </c:pt>
                <c:pt idx="7">
                  <c:v>Invalid Systolic BP </c:v>
                </c:pt>
                <c:pt idx="8">
                  <c:v>Missing Weight</c:v>
                </c:pt>
              </c:strCache>
            </c:strRef>
          </c:cat>
          <c:val>
            <c:numRef>
              <c:f>Pivot_Analysis!$J$4:$J$13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F34-BDFA-17516D766B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0741264"/>
        <c:axId val="1650744144"/>
      </c:barChart>
      <c:catAx>
        <c:axId val="165074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4144"/>
        <c:crosses val="autoZero"/>
        <c:auto val="1"/>
        <c:lblAlgn val="ctr"/>
        <c:lblOffset val="100"/>
        <c:noMultiLvlLbl val="0"/>
      </c:catAx>
      <c:valAx>
        <c:axId val="165074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[Clinical_Data_Management_project.xlsx]Pivot_Analysis!PivotTable16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Site</a:t>
            </a:r>
            <a:r>
              <a:rPr lang="en-US" baseline="0"/>
              <a:t> Wise Discrepency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Pivot_Analysis!$E$18:$E$23</c:f>
              <c:strCache>
                <c:ptCount val="5"/>
                <c:pt idx="0">
                  <c:v>SITE01</c:v>
                </c:pt>
                <c:pt idx="1">
                  <c:v>SITE02</c:v>
                </c:pt>
                <c:pt idx="2">
                  <c:v>SITE03</c:v>
                </c:pt>
                <c:pt idx="3">
                  <c:v>SITE03/SITE04</c:v>
                </c:pt>
                <c:pt idx="4">
                  <c:v>SITE04</c:v>
                </c:pt>
              </c:strCache>
            </c:strRef>
          </c:cat>
          <c:val>
            <c:numRef>
              <c:f>Pivot_Analysis!$F$18:$F$23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9-43B7-AC29-B9A6AD699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9235536"/>
        <c:axId val="1649236016"/>
      </c:barChart>
      <c:catAx>
        <c:axId val="16492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36016"/>
        <c:crosses val="autoZero"/>
        <c:auto val="1"/>
        <c:lblAlgn val="ctr"/>
        <c:lblOffset val="100"/>
        <c:noMultiLvlLbl val="0"/>
      </c:catAx>
      <c:valAx>
        <c:axId val="16492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3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</xdr:row>
      <xdr:rowOff>30480</xdr:rowOff>
    </xdr:from>
    <xdr:to>
      <xdr:col>7</xdr:col>
      <xdr:colOff>15240</xdr:colOff>
      <xdr:row>14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644EB-89E2-5438-8B09-B479AC667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1</xdr:row>
      <xdr:rowOff>41910</xdr:rowOff>
    </xdr:from>
    <xdr:to>
      <xdr:col>18</xdr:col>
      <xdr:colOff>175260</xdr:colOff>
      <xdr:row>14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98841-B025-AE94-3287-4C45E2430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297180</xdr:colOff>
      <xdr:row>14</xdr:row>
      <xdr:rowOff>125730</xdr:rowOff>
    </xdr:from>
    <xdr:to>
      <xdr:col>11</xdr:col>
      <xdr:colOff>205740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33F06-13ED-0C3C-6873-C5832E4B9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shir malick" refreshedDate="46167.025693055555" createdVersion="8" refreshedVersion="8" minRefreshableVersion="3" recordCount="13" xr:uid="{9062AE36-44F0-4F09-9C46-7FAF0414C27F}">
  <cacheSource type="worksheet">
    <worksheetSource ref="A1:G14" sheet="Query_Tracker"/>
  </cacheSource>
  <cacheFields count="7">
    <cacheField name="Query ID" numFmtId="0">
      <sharedItems count="13">
        <s v="Q001"/>
        <s v="Q002"/>
        <s v="Q003"/>
        <s v="Q004"/>
        <s v="Q005"/>
        <s v="Q006"/>
        <s v="Q007"/>
        <s v="Q008"/>
        <s v="Q009"/>
        <s v="Q010"/>
        <s v="Q011"/>
        <s v="Q012"/>
        <s v="Q013"/>
      </sharedItems>
    </cacheField>
    <cacheField name="Subject ID" numFmtId="0">
      <sharedItems/>
    </cacheField>
    <cacheField name="Site ID" numFmtId="0">
      <sharedItems count="5">
        <s v="SITE03/SITE04"/>
        <s v="SITE02"/>
        <s v="SITE04"/>
        <s v="SITE03"/>
        <s v="SITE01"/>
      </sharedItems>
    </cacheField>
    <cacheField name="Issue Type" numFmtId="0">
      <sharedItems count="9">
        <s v="Duplicate Subject ID"/>
        <s v="Future Visit Date"/>
        <s v="Invalid Age "/>
        <s v="Invalid Gender"/>
        <s v="Missing Weight"/>
        <s v="Invalid Systolic BP "/>
        <s v="Invalid Diastolic BP "/>
        <s v="Invalid AE Etry"/>
        <s v="Invalid Drug Dose Entry"/>
      </sharedItems>
    </cacheField>
    <cacheField name="Description" numFmtId="0">
      <sharedItems/>
    </cacheField>
    <cacheField name="Query Status" numFmtId="0">
      <sharedItems count="3">
        <s v="Open"/>
        <s v="In Progress"/>
        <s v="Closed"/>
      </sharedItems>
    </cacheField>
    <cacheField name="Re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shir malick" refreshedDate="46167.029888657409" createdVersion="8" refreshedVersion="8" minRefreshableVersion="3" recordCount="13" xr:uid="{A5A33793-84B5-4F5D-B03B-576712E888BB}">
  <cacheSource type="worksheet">
    <worksheetSource name="Table2"/>
  </cacheSource>
  <cacheFields count="7">
    <cacheField name="Query ID" numFmtId="0">
      <sharedItems count="13">
        <s v="Q001"/>
        <s v="Q002"/>
        <s v="Q003"/>
        <s v="Q004"/>
        <s v="Q005"/>
        <s v="Q006"/>
        <s v="Q007"/>
        <s v="Q008"/>
        <s v="Q009"/>
        <s v="Q010"/>
        <s v="Q011"/>
        <s v="Q012"/>
        <s v="Q013"/>
      </sharedItems>
    </cacheField>
    <cacheField name="Subject ID" numFmtId="0">
      <sharedItems/>
    </cacheField>
    <cacheField name="Site ID" numFmtId="0">
      <sharedItems count="5">
        <s v="SITE03/SITE04"/>
        <s v="SITE02"/>
        <s v="SITE04"/>
        <s v="SITE03"/>
        <s v="SITE01"/>
      </sharedItems>
    </cacheField>
    <cacheField name="Issue Type" numFmtId="0">
      <sharedItems/>
    </cacheField>
    <cacheField name="Description" numFmtId="0">
      <sharedItems/>
    </cacheField>
    <cacheField name="Query Status" numFmtId="0">
      <sharedItems/>
    </cacheField>
    <cacheField name="Re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SUB005"/>
    <x v="0"/>
    <x v="0"/>
    <s v="Subject ID is repeated twice"/>
    <x v="0"/>
    <s v="Awaiting Site Clarification"/>
  </r>
  <r>
    <x v="1"/>
    <s v="SUB019"/>
    <x v="1"/>
    <x v="1"/>
    <s v="Visit Date is beyond Current Date"/>
    <x v="1"/>
    <s v="Visit is scheduled for future dates"/>
  </r>
  <r>
    <x v="2"/>
    <s v="SUB014"/>
    <x v="2"/>
    <x v="2"/>
    <s v="Age entered as 250"/>
    <x v="0"/>
    <s v="Pending Correction"/>
  </r>
  <r>
    <x v="3"/>
    <s v="SUB024"/>
    <x v="3"/>
    <x v="3"/>
    <s v="Gender entered as ABC"/>
    <x v="0"/>
    <s v="Awaiting Update"/>
  </r>
  <r>
    <x v="4"/>
    <s v="SUB029"/>
    <x v="1"/>
    <x v="4"/>
    <s v="Weight Value is Blank"/>
    <x v="2"/>
    <s v="Weight Updated"/>
  </r>
  <r>
    <x v="5"/>
    <s v="SUB006"/>
    <x v="2"/>
    <x v="5"/>
    <s v="Systolic BP is 350"/>
    <x v="0"/>
    <s v="Awaiting Site Response"/>
  </r>
  <r>
    <x v="6"/>
    <s v="SUB034"/>
    <x v="3"/>
    <x v="5"/>
    <s v="Systolic BP is 20"/>
    <x v="0"/>
    <s v="Awaiting Site Response"/>
  </r>
  <r>
    <x v="7"/>
    <s v="SUB047"/>
    <x v="4"/>
    <x v="5"/>
    <s v="Systolic BP is 10"/>
    <x v="0"/>
    <s v="Awaiting Site Response"/>
  </r>
  <r>
    <x v="8"/>
    <s v="SUB031"/>
    <x v="4"/>
    <x v="6"/>
    <s v="Diastolic BP is -9"/>
    <x v="2"/>
    <s v="Value Corrected"/>
  </r>
  <r>
    <x v="9"/>
    <s v="SUB039"/>
    <x v="2"/>
    <x v="6"/>
    <s v="Diastolic BP is 10"/>
    <x v="0"/>
    <s v="Awaiting Site Response"/>
  </r>
  <r>
    <x v="10"/>
    <s v="SUB019"/>
    <x v="1"/>
    <x v="7"/>
    <s v="AE is entered as Maybe"/>
    <x v="0"/>
    <s v="Query Sent to Site for correction"/>
  </r>
  <r>
    <x v="11"/>
    <s v="SUB036"/>
    <x v="1"/>
    <x v="7"/>
    <s v="AE is entered as Maybe"/>
    <x v="0"/>
    <s v="Query Sent to Site for correction"/>
  </r>
  <r>
    <x v="12"/>
    <s v="SUB048"/>
    <x v="1"/>
    <x v="8"/>
    <s v="Drug Dose is entered as 1000mg"/>
    <x v="1"/>
    <s v="Pending Correcti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SUB005"/>
    <x v="0"/>
    <s v="Duplicate Subject ID"/>
    <s v="Subject ID is repeated twice"/>
    <s v="Open"/>
    <s v="Awaiting Site Clarification"/>
  </r>
  <r>
    <x v="1"/>
    <s v="SUB019"/>
    <x v="1"/>
    <s v="Future Visit Date"/>
    <s v="Visit Date is beyond Current Date"/>
    <s v="In Progress"/>
    <s v="Visit is scheduled for future dates"/>
  </r>
  <r>
    <x v="2"/>
    <s v="SUB014"/>
    <x v="2"/>
    <s v="Invalid Age "/>
    <s v="Age entered as 250"/>
    <s v="Open"/>
    <s v="Pending Correction"/>
  </r>
  <r>
    <x v="3"/>
    <s v="SUB024"/>
    <x v="3"/>
    <s v="Invalid Gender"/>
    <s v="Gender entered as ABC"/>
    <s v="Open"/>
    <s v="Awaiting Update"/>
  </r>
  <r>
    <x v="4"/>
    <s v="SUB029"/>
    <x v="1"/>
    <s v="Missing Weight"/>
    <s v="Weight Value is Blank"/>
    <s v="Closed"/>
    <s v="Weight Updated"/>
  </r>
  <r>
    <x v="5"/>
    <s v="SUB006"/>
    <x v="2"/>
    <s v="Invalid Systolic BP "/>
    <s v="Systolic BP is 350"/>
    <s v="Open"/>
    <s v="Awaiting Site Response"/>
  </r>
  <r>
    <x v="6"/>
    <s v="SUB034"/>
    <x v="3"/>
    <s v="Invalid Systolic BP "/>
    <s v="Systolic BP is 20"/>
    <s v="Open"/>
    <s v="Awaiting Site Response"/>
  </r>
  <r>
    <x v="7"/>
    <s v="SUB047"/>
    <x v="4"/>
    <s v="Invalid Systolic BP "/>
    <s v="Systolic BP is 10"/>
    <s v="Open"/>
    <s v="Awaiting Site Response"/>
  </r>
  <r>
    <x v="8"/>
    <s v="SUB031"/>
    <x v="4"/>
    <s v="Invalid Diastolic BP "/>
    <s v="Diastolic BP is -9"/>
    <s v="Closed"/>
    <s v="Value Corrected"/>
  </r>
  <r>
    <x v="9"/>
    <s v="SUB039"/>
    <x v="2"/>
    <s v="Invalid Diastolic BP "/>
    <s v="Diastolic BP is 10"/>
    <s v="Open"/>
    <s v="Awaiting Site Response"/>
  </r>
  <r>
    <x v="10"/>
    <s v="SUB019"/>
    <x v="1"/>
    <s v="Invalid AE Etry"/>
    <s v="AE is entered as Maybe"/>
    <s v="Open"/>
    <s v="Query Sent to Site for correction"/>
  </r>
  <r>
    <x v="11"/>
    <s v="SUB036"/>
    <x v="1"/>
    <s v="Invalid AE Etry"/>
    <s v="AE is entered as Maybe"/>
    <s v="Open"/>
    <s v="Query Sent to Site for correction"/>
  </r>
  <r>
    <x v="12"/>
    <s v="SUB048"/>
    <x v="1"/>
    <s v="Invalid Drug Dose Entry"/>
    <s v="Drug Dose is entered as 1000mg"/>
    <s v="In Progress"/>
    <s v="Pending Corre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F94C2-C5F4-46DE-BB8A-51FBF96DD5A2}" name="PivotTable16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7:F23" firstHeaderRow="1" firstDataRow="1" firstDataCol="1"/>
  <pivotFields count="7"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ery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7688-ECF2-46C5-BCEE-76E938A506F1}" name="PivotTable6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J13" firstHeaderRow="1" firstDataRow="1" firstDataCol="1"/>
  <pivotFields count="7">
    <pivotField showAll="0"/>
    <pivotField dataField="1" showAll="0"/>
    <pivotField showAll="0"/>
    <pivotField axis="axisRow" showAll="0">
      <items count="10">
        <item x="0"/>
        <item x="1"/>
        <item x="7"/>
        <item x="2"/>
        <item x="6"/>
        <item x="8"/>
        <item x="3"/>
        <item x="5"/>
        <item x="4"/>
        <item t="default"/>
      </items>
    </pivotField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ubject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0E701-E03A-4895-B81E-A6D516C7E80D}" name="PivotTable2" cacheId="95" dataOnRows="1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 chartFormat="3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ery ID" fld="0" subtotal="count" baseField="0" baseItem="0"/>
  </dataFields>
  <chartFormats count="4">
    <chartFormat chart="0" format="4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6" series="1">
      <pivotArea type="data" outline="0" fieldPosition="0"/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58A95-F15B-45B5-9841-E8B68167BDD6}" name="Table1" displayName="Table1" ref="A1:J51" totalsRowShown="0" headerRowDxfId="24">
  <autoFilter ref="A1:J51" xr:uid="{00000000-0001-0000-0000-000000000000}"/>
  <tableColumns count="10">
    <tableColumn id="1" xr3:uid="{5C938903-E80F-4E11-80D8-D83CBDCA50A0}" name="Subject ID"/>
    <tableColumn id="2" xr3:uid="{4C42F02E-D8E8-4D26-85D1-CA341405F675}" name="Site ID"/>
    <tableColumn id="3" xr3:uid="{A63D26F6-1298-4460-95B8-9EF004E594F8}" name="Visit Date" dataDxfId="25"/>
    <tableColumn id="4" xr3:uid="{3C65B83D-02CF-44AE-9B70-334A6C641186}" name="Age"/>
    <tableColumn id="5" xr3:uid="{80E37DC0-54A5-42B6-9405-6C217C1E4661}" name="Gender"/>
    <tableColumn id="6" xr3:uid="{029210CC-5C24-468D-89AC-447B38689DE8}" name="Weight (kg)"/>
    <tableColumn id="7" xr3:uid="{8F583199-7E4D-4B3B-9EC3-325C6C4FE3F7}" name="BP_SYS"/>
    <tableColumn id="8" xr3:uid="{23A0C87E-7503-4492-AA3E-7875600582BA}" name="BP_DIA"/>
    <tableColumn id="9" xr3:uid="{6036DF54-5475-49E3-8EC8-67B39C17CEDE}" name="AE Reported"/>
    <tableColumn id="10" xr3:uid="{9231F0F3-B5D6-4ACF-8D36-8EFA3E679BD9}" name="Drug Do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DB346-4262-4AA8-8E2F-B45B7DFB7EB5}" name="Table2" displayName="Table2" ref="A1:G14" totalsRowShown="0" headerRowDxfId="0">
  <autoFilter ref="A1:G14" xr:uid="{057DB346-4262-4AA8-8E2F-B45B7DFB7EB5}"/>
  <tableColumns count="7">
    <tableColumn id="1" xr3:uid="{CFDA6D0F-A7DF-45B8-B96F-F3D76264B78D}" name="Query ID"/>
    <tableColumn id="2" xr3:uid="{EE4BCB4F-D759-4B9E-87B5-E6DC96100CF0}" name="Subject ID"/>
    <tableColumn id="3" xr3:uid="{50DF9FF4-E2C5-41F1-A959-4E62ACFA5A85}" name="Site ID">
      <calculatedColumnFormula>_xlfn.XLOOKUP(B2,Raw_Clinical_Data!A:A,Raw_Clinical_Data!B:B)</calculatedColumnFormula>
    </tableColumn>
    <tableColumn id="4" xr3:uid="{948C4EF2-60D4-4FB8-B362-BEDB2F604AA1}" name="Issue Type"/>
    <tableColumn id="5" xr3:uid="{64541127-1BD0-4A55-BB39-B7117AB8B5EF}" name="Description"/>
    <tableColumn id="6" xr3:uid="{09FB9FFA-53B8-4CD6-96FA-6D365DC1BB9F}" name="Query Status"/>
    <tableColumn id="7" xr3:uid="{555F8F99-A818-4397-9BF2-203D15054469}" name="Resolu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>
      <selection activeCell="R13" sqref="R13"/>
    </sheetView>
  </sheetViews>
  <sheetFormatPr defaultRowHeight="14.4" x14ac:dyDescent="0.3"/>
  <cols>
    <col min="1" max="1" width="14" customWidth="1"/>
    <col min="2" max="2" width="11" customWidth="1"/>
    <col min="3" max="3" width="14" customWidth="1"/>
    <col min="4" max="4" width="7" customWidth="1"/>
    <col min="5" max="5" width="10" customWidth="1"/>
    <col min="6" max="6" width="15" customWidth="1"/>
    <col min="7" max="8" width="10" customWidth="1"/>
    <col min="9" max="9" width="15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s="2">
        <v>45695</v>
      </c>
      <c r="D2">
        <v>37</v>
      </c>
      <c r="E2" t="s">
        <v>12</v>
      </c>
      <c r="F2">
        <v>70</v>
      </c>
      <c r="G2">
        <v>100</v>
      </c>
      <c r="H2">
        <v>70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s="2">
        <v>45701</v>
      </c>
      <c r="D3">
        <v>44</v>
      </c>
      <c r="E3" t="s">
        <v>17</v>
      </c>
      <c r="F3">
        <v>71</v>
      </c>
      <c r="G3">
        <v>130</v>
      </c>
      <c r="H3">
        <v>84</v>
      </c>
      <c r="I3" t="s">
        <v>13</v>
      </c>
      <c r="J3" t="s">
        <v>18</v>
      </c>
    </row>
    <row r="4" spans="1:10" x14ac:dyDescent="0.3">
      <c r="A4" t="s">
        <v>19</v>
      </c>
      <c r="B4" t="s">
        <v>16</v>
      </c>
      <c r="C4" s="2">
        <v>45762</v>
      </c>
      <c r="D4">
        <v>66</v>
      </c>
      <c r="E4" t="s">
        <v>17</v>
      </c>
      <c r="F4">
        <v>47</v>
      </c>
      <c r="G4">
        <v>107</v>
      </c>
      <c r="H4">
        <v>85</v>
      </c>
      <c r="I4" t="s">
        <v>20</v>
      </c>
      <c r="J4" t="s">
        <v>21</v>
      </c>
    </row>
    <row r="5" spans="1:10" x14ac:dyDescent="0.3">
      <c r="A5" t="s">
        <v>22</v>
      </c>
      <c r="B5" t="s">
        <v>23</v>
      </c>
      <c r="C5" s="2">
        <v>45748</v>
      </c>
      <c r="D5">
        <v>46</v>
      </c>
      <c r="E5" t="s">
        <v>17</v>
      </c>
      <c r="F5">
        <v>93</v>
      </c>
      <c r="G5">
        <v>107</v>
      </c>
      <c r="H5">
        <v>75</v>
      </c>
      <c r="I5" t="s">
        <v>20</v>
      </c>
      <c r="J5" t="s">
        <v>18</v>
      </c>
    </row>
    <row r="6" spans="1:10" x14ac:dyDescent="0.3">
      <c r="A6" t="s">
        <v>24</v>
      </c>
      <c r="B6" t="s">
        <v>11</v>
      </c>
      <c r="C6" s="2">
        <v>45760</v>
      </c>
      <c r="D6">
        <v>21</v>
      </c>
      <c r="E6" t="s">
        <v>17</v>
      </c>
      <c r="F6">
        <v>91</v>
      </c>
      <c r="G6">
        <v>111</v>
      </c>
      <c r="H6">
        <v>86</v>
      </c>
      <c r="I6" t="s">
        <v>13</v>
      </c>
      <c r="J6" t="s">
        <v>14</v>
      </c>
    </row>
    <row r="7" spans="1:10" x14ac:dyDescent="0.3">
      <c r="A7" t="s">
        <v>24</v>
      </c>
      <c r="B7" t="s">
        <v>25</v>
      </c>
      <c r="C7" s="2">
        <v>45665</v>
      </c>
      <c r="D7">
        <v>27</v>
      </c>
      <c r="E7" t="s">
        <v>17</v>
      </c>
      <c r="F7">
        <v>88</v>
      </c>
      <c r="G7">
        <v>116</v>
      </c>
      <c r="H7">
        <v>61</v>
      </c>
      <c r="I7" t="s">
        <v>20</v>
      </c>
      <c r="J7" t="s">
        <v>21</v>
      </c>
    </row>
    <row r="8" spans="1:10" x14ac:dyDescent="0.3">
      <c r="A8" t="s">
        <v>26</v>
      </c>
      <c r="B8" t="s">
        <v>16</v>
      </c>
      <c r="C8" s="2">
        <v>45807</v>
      </c>
      <c r="D8">
        <v>36</v>
      </c>
      <c r="E8" t="s">
        <v>17</v>
      </c>
      <c r="F8">
        <v>75</v>
      </c>
      <c r="G8">
        <v>350</v>
      </c>
      <c r="H8">
        <v>77</v>
      </c>
      <c r="I8" t="s">
        <v>20</v>
      </c>
      <c r="J8" t="s">
        <v>18</v>
      </c>
    </row>
    <row r="9" spans="1:10" x14ac:dyDescent="0.3">
      <c r="A9" t="s">
        <v>27</v>
      </c>
      <c r="B9" t="s">
        <v>23</v>
      </c>
      <c r="C9" s="2">
        <v>45696</v>
      </c>
      <c r="D9">
        <v>54</v>
      </c>
      <c r="E9" t="s">
        <v>12</v>
      </c>
      <c r="F9">
        <v>48</v>
      </c>
      <c r="G9">
        <v>134</v>
      </c>
      <c r="H9">
        <v>65</v>
      </c>
      <c r="I9" t="s">
        <v>13</v>
      </c>
      <c r="J9" t="s">
        <v>21</v>
      </c>
    </row>
    <row r="10" spans="1:10" x14ac:dyDescent="0.3">
      <c r="A10" t="s">
        <v>28</v>
      </c>
      <c r="B10" t="s">
        <v>23</v>
      </c>
      <c r="C10" s="2">
        <v>45778</v>
      </c>
      <c r="D10">
        <v>52</v>
      </c>
      <c r="E10" t="s">
        <v>17</v>
      </c>
      <c r="F10">
        <v>71</v>
      </c>
      <c r="G10">
        <v>124</v>
      </c>
      <c r="H10">
        <v>73</v>
      </c>
      <c r="I10" t="s">
        <v>13</v>
      </c>
      <c r="J10" t="s">
        <v>21</v>
      </c>
    </row>
    <row r="11" spans="1:10" x14ac:dyDescent="0.3">
      <c r="A11" t="s">
        <v>29</v>
      </c>
      <c r="B11" t="s">
        <v>11</v>
      </c>
      <c r="C11" s="2">
        <v>45805</v>
      </c>
      <c r="D11">
        <v>52</v>
      </c>
      <c r="E11" t="s">
        <v>12</v>
      </c>
      <c r="F11">
        <v>69</v>
      </c>
      <c r="G11">
        <v>136</v>
      </c>
      <c r="H11">
        <v>76</v>
      </c>
      <c r="I11" t="s">
        <v>13</v>
      </c>
      <c r="J11" t="s">
        <v>18</v>
      </c>
    </row>
    <row r="12" spans="1:10" x14ac:dyDescent="0.3">
      <c r="A12" t="s">
        <v>30</v>
      </c>
      <c r="B12" t="s">
        <v>11</v>
      </c>
      <c r="C12" s="2">
        <v>45669</v>
      </c>
      <c r="D12">
        <v>37</v>
      </c>
      <c r="E12" t="s">
        <v>12</v>
      </c>
      <c r="F12">
        <v>77</v>
      </c>
      <c r="G12">
        <v>101</v>
      </c>
      <c r="H12">
        <v>70</v>
      </c>
      <c r="I12" t="s">
        <v>20</v>
      </c>
      <c r="J12" t="s">
        <v>14</v>
      </c>
    </row>
    <row r="13" spans="1:10" x14ac:dyDescent="0.3">
      <c r="A13" t="s">
        <v>31</v>
      </c>
      <c r="B13" t="s">
        <v>25</v>
      </c>
      <c r="C13" s="2">
        <v>45740</v>
      </c>
      <c r="D13">
        <v>75</v>
      </c>
      <c r="E13" t="s">
        <v>17</v>
      </c>
      <c r="F13">
        <v>94</v>
      </c>
      <c r="G13">
        <v>129</v>
      </c>
      <c r="H13">
        <v>66</v>
      </c>
      <c r="I13" t="s">
        <v>20</v>
      </c>
      <c r="J13" t="s">
        <v>18</v>
      </c>
    </row>
    <row r="14" spans="1:10" x14ac:dyDescent="0.3">
      <c r="A14" t="s">
        <v>32</v>
      </c>
      <c r="B14" t="s">
        <v>23</v>
      </c>
      <c r="C14" s="2">
        <v>45699</v>
      </c>
      <c r="D14">
        <v>50</v>
      </c>
      <c r="E14" t="s">
        <v>12</v>
      </c>
      <c r="F14">
        <v>72</v>
      </c>
      <c r="G14">
        <v>135</v>
      </c>
      <c r="H14">
        <v>66</v>
      </c>
      <c r="I14" t="s">
        <v>13</v>
      </c>
      <c r="J14" t="s">
        <v>14</v>
      </c>
    </row>
    <row r="15" spans="1:10" x14ac:dyDescent="0.3">
      <c r="A15" t="s">
        <v>33</v>
      </c>
      <c r="B15" t="s">
        <v>16</v>
      </c>
      <c r="C15" s="2">
        <v>45767</v>
      </c>
      <c r="D15" s="3">
        <v>250</v>
      </c>
      <c r="E15" t="s">
        <v>17</v>
      </c>
      <c r="F15">
        <v>55</v>
      </c>
      <c r="G15">
        <v>111</v>
      </c>
      <c r="H15">
        <v>70</v>
      </c>
      <c r="I15" t="s">
        <v>13</v>
      </c>
      <c r="J15" t="s">
        <v>14</v>
      </c>
    </row>
    <row r="16" spans="1:10" x14ac:dyDescent="0.3">
      <c r="A16" t="s">
        <v>34</v>
      </c>
      <c r="B16" t="s">
        <v>16</v>
      </c>
      <c r="C16" s="2">
        <v>45831</v>
      </c>
      <c r="D16">
        <v>49</v>
      </c>
      <c r="E16" t="s">
        <v>17</v>
      </c>
      <c r="F16">
        <v>56</v>
      </c>
      <c r="G16">
        <v>120</v>
      </c>
      <c r="H16">
        <v>88</v>
      </c>
      <c r="I16" t="s">
        <v>20</v>
      </c>
      <c r="J16" t="s">
        <v>21</v>
      </c>
    </row>
    <row r="17" spans="1:10" x14ac:dyDescent="0.3">
      <c r="A17" t="s">
        <v>35</v>
      </c>
      <c r="B17" t="s">
        <v>16</v>
      </c>
      <c r="C17" s="2">
        <v>45661</v>
      </c>
      <c r="D17">
        <v>67</v>
      </c>
      <c r="E17" t="s">
        <v>17</v>
      </c>
      <c r="F17">
        <v>80</v>
      </c>
      <c r="G17">
        <v>129</v>
      </c>
      <c r="H17">
        <v>89</v>
      </c>
      <c r="I17" t="s">
        <v>13</v>
      </c>
      <c r="J17" t="s">
        <v>14</v>
      </c>
    </row>
    <row r="18" spans="1:10" x14ac:dyDescent="0.3">
      <c r="A18" t="s">
        <v>36</v>
      </c>
      <c r="B18" t="s">
        <v>11</v>
      </c>
      <c r="C18" s="2">
        <v>45742</v>
      </c>
      <c r="D18">
        <v>26</v>
      </c>
      <c r="E18" t="s">
        <v>17</v>
      </c>
      <c r="F18">
        <v>92</v>
      </c>
      <c r="G18">
        <v>126</v>
      </c>
      <c r="H18">
        <v>71</v>
      </c>
      <c r="I18" t="s">
        <v>20</v>
      </c>
      <c r="J18" t="s">
        <v>21</v>
      </c>
    </row>
    <row r="19" spans="1:10" x14ac:dyDescent="0.3">
      <c r="A19" t="s">
        <v>37</v>
      </c>
      <c r="B19" t="s">
        <v>16</v>
      </c>
      <c r="C19" s="2">
        <v>45793</v>
      </c>
      <c r="D19">
        <v>39</v>
      </c>
      <c r="E19" t="s">
        <v>12</v>
      </c>
      <c r="F19">
        <v>46</v>
      </c>
      <c r="G19">
        <v>118</v>
      </c>
      <c r="H19">
        <v>85</v>
      </c>
      <c r="I19" t="s">
        <v>13</v>
      </c>
      <c r="J19" t="s">
        <v>18</v>
      </c>
    </row>
    <row r="20" spans="1:10" x14ac:dyDescent="0.3">
      <c r="A20" t="s">
        <v>38</v>
      </c>
      <c r="B20" t="s">
        <v>23</v>
      </c>
      <c r="C20" s="2">
        <v>47842</v>
      </c>
      <c r="D20">
        <v>37</v>
      </c>
      <c r="E20" t="s">
        <v>17</v>
      </c>
      <c r="F20">
        <v>91</v>
      </c>
      <c r="G20">
        <v>122</v>
      </c>
      <c r="H20">
        <v>69</v>
      </c>
      <c r="I20" t="s">
        <v>78</v>
      </c>
      <c r="J20" t="s">
        <v>21</v>
      </c>
    </row>
    <row r="21" spans="1:10" x14ac:dyDescent="0.3">
      <c r="A21" t="s">
        <v>39</v>
      </c>
      <c r="B21" t="s">
        <v>23</v>
      </c>
      <c r="C21" s="2">
        <v>45792</v>
      </c>
      <c r="D21">
        <v>72</v>
      </c>
      <c r="E21" t="s">
        <v>12</v>
      </c>
      <c r="F21">
        <v>92</v>
      </c>
      <c r="G21">
        <v>136</v>
      </c>
      <c r="H21">
        <v>68</v>
      </c>
      <c r="I21" t="s">
        <v>20</v>
      </c>
      <c r="J21" t="s">
        <v>21</v>
      </c>
    </row>
    <row r="22" spans="1:10" x14ac:dyDescent="0.3">
      <c r="A22" t="s">
        <v>40</v>
      </c>
      <c r="B22" t="s">
        <v>25</v>
      </c>
      <c r="C22" s="2">
        <v>45673</v>
      </c>
      <c r="D22">
        <v>27</v>
      </c>
      <c r="E22" t="s">
        <v>17</v>
      </c>
      <c r="F22">
        <v>88</v>
      </c>
      <c r="G22">
        <v>131</v>
      </c>
      <c r="H22">
        <v>63</v>
      </c>
      <c r="I22" t="s">
        <v>13</v>
      </c>
      <c r="J22" t="s">
        <v>21</v>
      </c>
    </row>
    <row r="23" spans="1:10" x14ac:dyDescent="0.3">
      <c r="A23" t="s">
        <v>41</v>
      </c>
      <c r="B23" t="s">
        <v>23</v>
      </c>
      <c r="C23" s="2">
        <v>45746</v>
      </c>
      <c r="D23">
        <v>44</v>
      </c>
      <c r="E23" t="s">
        <v>17</v>
      </c>
      <c r="F23">
        <v>76</v>
      </c>
      <c r="G23">
        <v>130</v>
      </c>
      <c r="H23">
        <v>70</v>
      </c>
      <c r="I23" t="s">
        <v>20</v>
      </c>
      <c r="J23" t="s">
        <v>14</v>
      </c>
    </row>
    <row r="24" spans="1:10" x14ac:dyDescent="0.3">
      <c r="A24" t="s">
        <v>42</v>
      </c>
      <c r="B24" t="s">
        <v>23</v>
      </c>
      <c r="C24" s="2">
        <v>45773</v>
      </c>
      <c r="D24">
        <v>34</v>
      </c>
      <c r="E24" t="s">
        <v>17</v>
      </c>
      <c r="F24">
        <v>52</v>
      </c>
      <c r="G24">
        <v>108</v>
      </c>
      <c r="H24">
        <v>66</v>
      </c>
      <c r="I24" t="s">
        <v>20</v>
      </c>
      <c r="J24" t="s">
        <v>21</v>
      </c>
    </row>
    <row r="25" spans="1:10" x14ac:dyDescent="0.3">
      <c r="A25" t="s">
        <v>43</v>
      </c>
      <c r="B25" t="s">
        <v>11</v>
      </c>
      <c r="C25" s="2">
        <v>45704</v>
      </c>
      <c r="D25">
        <v>54</v>
      </c>
      <c r="E25" t="s">
        <v>44</v>
      </c>
      <c r="F25">
        <v>79</v>
      </c>
      <c r="G25">
        <v>114</v>
      </c>
      <c r="H25">
        <v>72</v>
      </c>
      <c r="I25" t="s">
        <v>20</v>
      </c>
      <c r="J25" t="s">
        <v>21</v>
      </c>
    </row>
    <row r="26" spans="1:10" x14ac:dyDescent="0.3">
      <c r="A26" t="s">
        <v>45</v>
      </c>
      <c r="B26" t="s">
        <v>25</v>
      </c>
      <c r="C26" s="2">
        <v>45819</v>
      </c>
      <c r="D26">
        <v>27</v>
      </c>
      <c r="E26" t="s">
        <v>12</v>
      </c>
      <c r="F26">
        <v>73</v>
      </c>
      <c r="G26">
        <v>130</v>
      </c>
      <c r="H26">
        <v>89</v>
      </c>
      <c r="I26" t="s">
        <v>13</v>
      </c>
      <c r="J26" t="s">
        <v>18</v>
      </c>
    </row>
    <row r="27" spans="1:10" x14ac:dyDescent="0.3">
      <c r="A27" t="s">
        <v>46</v>
      </c>
      <c r="B27" t="s">
        <v>25</v>
      </c>
      <c r="C27" s="2">
        <v>45687</v>
      </c>
      <c r="D27">
        <v>60</v>
      </c>
      <c r="E27" t="s">
        <v>17</v>
      </c>
      <c r="F27">
        <v>87</v>
      </c>
      <c r="G27">
        <v>110</v>
      </c>
      <c r="H27">
        <v>85</v>
      </c>
      <c r="I27" t="s">
        <v>13</v>
      </c>
      <c r="J27" t="s">
        <v>18</v>
      </c>
    </row>
    <row r="28" spans="1:10" x14ac:dyDescent="0.3">
      <c r="A28" t="s">
        <v>47</v>
      </c>
      <c r="B28" t="s">
        <v>23</v>
      </c>
      <c r="C28" s="2">
        <v>45769</v>
      </c>
      <c r="D28">
        <v>37</v>
      </c>
      <c r="E28" t="s">
        <v>17</v>
      </c>
      <c r="F28">
        <v>66</v>
      </c>
      <c r="G28">
        <v>120</v>
      </c>
      <c r="H28">
        <v>69</v>
      </c>
      <c r="I28" t="s">
        <v>20</v>
      </c>
      <c r="J28" t="s">
        <v>14</v>
      </c>
    </row>
    <row r="29" spans="1:10" x14ac:dyDescent="0.3">
      <c r="A29" t="s">
        <v>48</v>
      </c>
      <c r="B29" t="s">
        <v>16</v>
      </c>
      <c r="C29" s="2">
        <v>45793</v>
      </c>
      <c r="D29">
        <v>40</v>
      </c>
      <c r="E29" t="s">
        <v>17</v>
      </c>
      <c r="F29">
        <v>70</v>
      </c>
      <c r="G29">
        <v>135</v>
      </c>
      <c r="H29">
        <v>72</v>
      </c>
      <c r="I29" t="s">
        <v>13</v>
      </c>
      <c r="J29" t="s">
        <v>14</v>
      </c>
    </row>
    <row r="30" spans="1:10" x14ac:dyDescent="0.3">
      <c r="A30" t="s">
        <v>49</v>
      </c>
      <c r="B30" t="s">
        <v>23</v>
      </c>
      <c r="C30" s="2">
        <v>45688</v>
      </c>
      <c r="D30">
        <v>23</v>
      </c>
      <c r="E30" t="s">
        <v>12</v>
      </c>
      <c r="G30">
        <v>107</v>
      </c>
      <c r="H30">
        <v>87</v>
      </c>
      <c r="I30" t="s">
        <v>13</v>
      </c>
      <c r="J30" t="s">
        <v>14</v>
      </c>
    </row>
    <row r="31" spans="1:10" x14ac:dyDescent="0.3">
      <c r="A31" t="s">
        <v>50</v>
      </c>
      <c r="B31" t="s">
        <v>25</v>
      </c>
      <c r="C31" s="2">
        <v>45765</v>
      </c>
      <c r="D31">
        <v>51</v>
      </c>
      <c r="E31" t="s">
        <v>12</v>
      </c>
      <c r="F31">
        <v>87</v>
      </c>
      <c r="G31">
        <v>133</v>
      </c>
      <c r="H31">
        <v>79</v>
      </c>
      <c r="I31" t="s">
        <v>20</v>
      </c>
      <c r="J31" t="s">
        <v>18</v>
      </c>
    </row>
    <row r="32" spans="1:10" x14ac:dyDescent="0.3">
      <c r="A32" t="s">
        <v>51</v>
      </c>
      <c r="B32" t="s">
        <v>25</v>
      </c>
      <c r="C32" s="2">
        <v>45792</v>
      </c>
      <c r="D32">
        <v>71</v>
      </c>
      <c r="E32" t="s">
        <v>17</v>
      </c>
      <c r="F32">
        <v>60</v>
      </c>
      <c r="G32">
        <v>140</v>
      </c>
      <c r="H32">
        <v>-9</v>
      </c>
      <c r="I32" t="s">
        <v>20</v>
      </c>
      <c r="J32" t="s">
        <v>18</v>
      </c>
    </row>
    <row r="33" spans="1:10" x14ac:dyDescent="0.3">
      <c r="A33" t="s">
        <v>52</v>
      </c>
      <c r="B33" t="s">
        <v>11</v>
      </c>
      <c r="C33" s="2">
        <v>45700</v>
      </c>
      <c r="D33">
        <v>52</v>
      </c>
      <c r="E33" t="s">
        <v>17</v>
      </c>
      <c r="F33">
        <v>68</v>
      </c>
      <c r="G33">
        <v>118</v>
      </c>
      <c r="H33">
        <v>61</v>
      </c>
      <c r="I33" t="s">
        <v>13</v>
      </c>
      <c r="J33" t="s">
        <v>18</v>
      </c>
    </row>
    <row r="34" spans="1:10" x14ac:dyDescent="0.3">
      <c r="A34" t="s">
        <v>53</v>
      </c>
      <c r="B34" t="s">
        <v>16</v>
      </c>
      <c r="C34" s="2">
        <v>45692</v>
      </c>
      <c r="D34">
        <v>73</v>
      </c>
      <c r="E34" t="s">
        <v>17</v>
      </c>
      <c r="F34">
        <v>81</v>
      </c>
      <c r="G34">
        <v>102</v>
      </c>
      <c r="H34">
        <v>73</v>
      </c>
      <c r="I34" t="s">
        <v>13</v>
      </c>
      <c r="J34" t="s">
        <v>18</v>
      </c>
    </row>
    <row r="35" spans="1:10" x14ac:dyDescent="0.3">
      <c r="A35" t="s">
        <v>54</v>
      </c>
      <c r="B35" t="s">
        <v>11</v>
      </c>
      <c r="C35" s="2">
        <v>45666</v>
      </c>
      <c r="D35">
        <v>70</v>
      </c>
      <c r="E35" t="s">
        <v>12</v>
      </c>
      <c r="F35">
        <v>55</v>
      </c>
      <c r="G35">
        <v>20</v>
      </c>
      <c r="H35">
        <v>67</v>
      </c>
      <c r="I35" t="s">
        <v>20</v>
      </c>
      <c r="J35" t="s">
        <v>18</v>
      </c>
    </row>
    <row r="36" spans="1:10" x14ac:dyDescent="0.3">
      <c r="A36" t="s">
        <v>55</v>
      </c>
      <c r="B36" t="s">
        <v>25</v>
      </c>
      <c r="C36" s="2">
        <v>45802</v>
      </c>
      <c r="D36">
        <v>31</v>
      </c>
      <c r="E36" t="s">
        <v>17</v>
      </c>
      <c r="F36">
        <v>84</v>
      </c>
      <c r="G36">
        <v>131</v>
      </c>
      <c r="H36">
        <v>73</v>
      </c>
      <c r="I36" t="s">
        <v>13</v>
      </c>
      <c r="J36" t="s">
        <v>18</v>
      </c>
    </row>
    <row r="37" spans="1:10" x14ac:dyDescent="0.3">
      <c r="A37" t="s">
        <v>56</v>
      </c>
      <c r="B37" t="s">
        <v>23</v>
      </c>
      <c r="C37" s="2">
        <v>45740</v>
      </c>
      <c r="D37">
        <v>75</v>
      </c>
      <c r="E37" t="s">
        <v>12</v>
      </c>
      <c r="F37">
        <v>82</v>
      </c>
      <c r="G37">
        <v>102</v>
      </c>
      <c r="H37">
        <v>85</v>
      </c>
      <c r="I37" t="s">
        <v>78</v>
      </c>
      <c r="J37" t="s">
        <v>14</v>
      </c>
    </row>
    <row r="38" spans="1:10" x14ac:dyDescent="0.3">
      <c r="A38" t="s">
        <v>57</v>
      </c>
      <c r="B38" t="s">
        <v>25</v>
      </c>
      <c r="C38" s="2">
        <v>45800</v>
      </c>
      <c r="D38">
        <v>55</v>
      </c>
      <c r="E38" t="s">
        <v>17</v>
      </c>
      <c r="F38">
        <v>71</v>
      </c>
      <c r="G38">
        <v>138</v>
      </c>
      <c r="H38">
        <v>65</v>
      </c>
      <c r="I38" t="s">
        <v>13</v>
      </c>
      <c r="J38" t="s">
        <v>21</v>
      </c>
    </row>
    <row r="39" spans="1:10" x14ac:dyDescent="0.3">
      <c r="A39" t="s">
        <v>58</v>
      </c>
      <c r="B39" t="s">
        <v>11</v>
      </c>
      <c r="C39" s="2">
        <v>45727</v>
      </c>
      <c r="D39">
        <v>46</v>
      </c>
      <c r="E39" t="s">
        <v>17</v>
      </c>
      <c r="F39">
        <v>77</v>
      </c>
      <c r="G39">
        <v>110</v>
      </c>
      <c r="H39">
        <v>69</v>
      </c>
      <c r="I39" t="s">
        <v>20</v>
      </c>
      <c r="J39" t="s">
        <v>21</v>
      </c>
    </row>
    <row r="40" spans="1:10" x14ac:dyDescent="0.3">
      <c r="A40" t="s">
        <v>59</v>
      </c>
      <c r="B40" t="s">
        <v>16</v>
      </c>
      <c r="C40" s="2">
        <v>45696</v>
      </c>
      <c r="D40">
        <v>60</v>
      </c>
      <c r="E40" t="s">
        <v>12</v>
      </c>
      <c r="F40">
        <v>59</v>
      </c>
      <c r="G40">
        <v>105</v>
      </c>
      <c r="H40">
        <v>10</v>
      </c>
      <c r="I40" t="s">
        <v>20</v>
      </c>
      <c r="J40" t="s">
        <v>14</v>
      </c>
    </row>
    <row r="41" spans="1:10" x14ac:dyDescent="0.3">
      <c r="A41" t="s">
        <v>60</v>
      </c>
      <c r="B41" t="s">
        <v>25</v>
      </c>
      <c r="C41" s="2">
        <v>45704</v>
      </c>
      <c r="D41">
        <v>63</v>
      </c>
      <c r="E41" t="s">
        <v>12</v>
      </c>
      <c r="F41">
        <v>72</v>
      </c>
      <c r="G41">
        <v>124</v>
      </c>
      <c r="H41">
        <v>63</v>
      </c>
      <c r="I41" t="s">
        <v>13</v>
      </c>
      <c r="J41" t="s">
        <v>18</v>
      </c>
    </row>
    <row r="42" spans="1:10" x14ac:dyDescent="0.3">
      <c r="A42" t="s">
        <v>61</v>
      </c>
      <c r="B42" t="s">
        <v>11</v>
      </c>
      <c r="C42" s="2">
        <v>45686</v>
      </c>
      <c r="D42">
        <v>63</v>
      </c>
      <c r="E42" t="s">
        <v>12</v>
      </c>
      <c r="F42">
        <v>87</v>
      </c>
      <c r="G42">
        <v>115</v>
      </c>
      <c r="H42">
        <v>89</v>
      </c>
      <c r="I42" t="s">
        <v>20</v>
      </c>
      <c r="J42" t="s">
        <v>21</v>
      </c>
    </row>
    <row r="43" spans="1:10" x14ac:dyDescent="0.3">
      <c r="A43" t="s">
        <v>62</v>
      </c>
      <c r="B43" t="s">
        <v>16</v>
      </c>
      <c r="C43" s="2">
        <v>45780</v>
      </c>
      <c r="D43">
        <v>58</v>
      </c>
      <c r="E43" t="s">
        <v>12</v>
      </c>
      <c r="F43">
        <v>88</v>
      </c>
      <c r="G43">
        <v>111</v>
      </c>
      <c r="H43">
        <v>68</v>
      </c>
      <c r="I43" t="s">
        <v>13</v>
      </c>
      <c r="J43" t="s">
        <v>18</v>
      </c>
    </row>
    <row r="44" spans="1:10" x14ac:dyDescent="0.3">
      <c r="A44" t="s">
        <v>63</v>
      </c>
      <c r="B44" t="s">
        <v>11</v>
      </c>
      <c r="C44" s="2">
        <v>45678</v>
      </c>
      <c r="D44">
        <v>44</v>
      </c>
      <c r="E44" t="s">
        <v>12</v>
      </c>
      <c r="F44">
        <v>58</v>
      </c>
      <c r="G44">
        <v>135</v>
      </c>
      <c r="H44">
        <v>68</v>
      </c>
      <c r="I44" t="s">
        <v>13</v>
      </c>
      <c r="J44" t="s">
        <v>14</v>
      </c>
    </row>
    <row r="45" spans="1:10" x14ac:dyDescent="0.3">
      <c r="A45" t="s">
        <v>64</v>
      </c>
      <c r="B45" t="s">
        <v>16</v>
      </c>
      <c r="C45" s="2">
        <v>45672</v>
      </c>
      <c r="D45">
        <v>26</v>
      </c>
      <c r="E45" t="s">
        <v>12</v>
      </c>
      <c r="F45">
        <v>73</v>
      </c>
      <c r="G45">
        <v>124</v>
      </c>
      <c r="H45">
        <v>85</v>
      </c>
      <c r="I45" t="s">
        <v>20</v>
      </c>
      <c r="J45" t="s">
        <v>14</v>
      </c>
    </row>
    <row r="46" spans="1:10" x14ac:dyDescent="0.3">
      <c r="A46" t="s">
        <v>65</v>
      </c>
      <c r="B46" t="s">
        <v>25</v>
      </c>
      <c r="C46" s="2">
        <v>45684</v>
      </c>
      <c r="D46">
        <v>71</v>
      </c>
      <c r="E46" t="s">
        <v>12</v>
      </c>
      <c r="F46">
        <v>94</v>
      </c>
      <c r="G46">
        <v>117</v>
      </c>
      <c r="H46">
        <v>88</v>
      </c>
      <c r="I46" t="s">
        <v>13</v>
      </c>
      <c r="J46" t="s">
        <v>18</v>
      </c>
    </row>
    <row r="47" spans="1:10" x14ac:dyDescent="0.3">
      <c r="A47" t="s">
        <v>66</v>
      </c>
      <c r="B47" t="s">
        <v>25</v>
      </c>
      <c r="C47" s="2">
        <v>45803</v>
      </c>
      <c r="D47">
        <v>27</v>
      </c>
      <c r="E47" t="s">
        <v>17</v>
      </c>
      <c r="F47">
        <v>77</v>
      </c>
      <c r="G47">
        <v>105</v>
      </c>
      <c r="H47">
        <v>89</v>
      </c>
      <c r="I47" t="s">
        <v>13</v>
      </c>
      <c r="J47" t="s">
        <v>14</v>
      </c>
    </row>
    <row r="48" spans="1:10" x14ac:dyDescent="0.3">
      <c r="A48" t="s">
        <v>67</v>
      </c>
      <c r="B48" t="s">
        <v>25</v>
      </c>
      <c r="C48" s="2">
        <v>45717</v>
      </c>
      <c r="D48">
        <v>38</v>
      </c>
      <c r="E48" t="s">
        <v>12</v>
      </c>
      <c r="F48">
        <v>83</v>
      </c>
      <c r="G48">
        <v>10</v>
      </c>
      <c r="H48">
        <v>86</v>
      </c>
      <c r="I48" t="s">
        <v>20</v>
      </c>
      <c r="J48" t="s">
        <v>21</v>
      </c>
    </row>
    <row r="49" spans="1:10" x14ac:dyDescent="0.3">
      <c r="A49" t="s">
        <v>68</v>
      </c>
      <c r="B49" t="s">
        <v>23</v>
      </c>
      <c r="C49" s="2">
        <v>45767</v>
      </c>
      <c r="D49">
        <v>64</v>
      </c>
      <c r="E49" t="s">
        <v>12</v>
      </c>
      <c r="F49">
        <v>50</v>
      </c>
      <c r="G49">
        <v>131</v>
      </c>
      <c r="H49">
        <v>85</v>
      </c>
      <c r="I49" t="s">
        <v>20</v>
      </c>
      <c r="J49" t="s">
        <v>79</v>
      </c>
    </row>
    <row r="50" spans="1:10" x14ac:dyDescent="0.3">
      <c r="A50" t="s">
        <v>69</v>
      </c>
      <c r="B50" t="s">
        <v>11</v>
      </c>
      <c r="C50" s="2">
        <v>45717</v>
      </c>
      <c r="D50">
        <v>72</v>
      </c>
      <c r="E50" t="s">
        <v>12</v>
      </c>
      <c r="F50">
        <v>53</v>
      </c>
      <c r="G50">
        <v>137</v>
      </c>
      <c r="H50">
        <v>63</v>
      </c>
      <c r="I50" t="s">
        <v>13</v>
      </c>
      <c r="J50" t="s">
        <v>14</v>
      </c>
    </row>
    <row r="51" spans="1:10" x14ac:dyDescent="0.3">
      <c r="A51" t="s">
        <v>70</v>
      </c>
      <c r="B51" t="s">
        <v>23</v>
      </c>
      <c r="C51" s="2">
        <v>45837</v>
      </c>
      <c r="D51">
        <v>49</v>
      </c>
      <c r="E51" t="s">
        <v>17</v>
      </c>
      <c r="F51">
        <v>53</v>
      </c>
      <c r="G51">
        <v>136</v>
      </c>
      <c r="H51">
        <v>78</v>
      </c>
      <c r="I51" t="s">
        <v>20</v>
      </c>
      <c r="J51" t="s">
        <v>14</v>
      </c>
    </row>
    <row r="52" spans="1:10" x14ac:dyDescent="0.3">
      <c r="F52" s="3"/>
    </row>
    <row r="53" spans="1:10" x14ac:dyDescent="0.3">
      <c r="F53" s="3"/>
    </row>
    <row r="54" spans="1:10" x14ac:dyDescent="0.3">
      <c r="B54" s="3"/>
      <c r="F54" s="3"/>
    </row>
    <row r="55" spans="1:10" x14ac:dyDescent="0.3">
      <c r="B55" s="3"/>
      <c r="F55" s="3"/>
    </row>
    <row r="56" spans="1:10" x14ac:dyDescent="0.3">
      <c r="B56" s="3"/>
      <c r="F56" s="3"/>
    </row>
    <row r="57" spans="1:10" x14ac:dyDescent="0.3">
      <c r="F57" s="3"/>
    </row>
    <row r="58" spans="1:10" x14ac:dyDescent="0.3">
      <c r="F58" s="3"/>
    </row>
    <row r="59" spans="1:10" x14ac:dyDescent="0.3">
      <c r="F59" s="3"/>
    </row>
    <row r="60" spans="1:10" x14ac:dyDescent="0.3">
      <c r="F60" s="3"/>
    </row>
    <row r="61" spans="1:10" x14ac:dyDescent="0.3">
      <c r="F61" s="3"/>
    </row>
    <row r="62" spans="1:10" x14ac:dyDescent="0.3">
      <c r="F62" s="3"/>
    </row>
    <row r="63" spans="1:10" x14ac:dyDescent="0.3">
      <c r="F63" s="3"/>
    </row>
    <row r="64" spans="1:10" x14ac:dyDescent="0.3">
      <c r="F64" s="3"/>
    </row>
    <row r="65" spans="6:6" x14ac:dyDescent="0.3">
      <c r="F65" s="3"/>
    </row>
    <row r="66" spans="6:6" x14ac:dyDescent="0.3">
      <c r="F66" s="3"/>
    </row>
    <row r="67" spans="6:6" x14ac:dyDescent="0.3">
      <c r="F67" s="3"/>
    </row>
    <row r="68" spans="6:6" x14ac:dyDescent="0.3">
      <c r="F68" s="3"/>
    </row>
    <row r="69" spans="6:6" x14ac:dyDescent="0.3">
      <c r="F69" s="3"/>
    </row>
    <row r="70" spans="6:6" x14ac:dyDescent="0.3">
      <c r="F70" s="3"/>
    </row>
    <row r="71" spans="6:6" x14ac:dyDescent="0.3">
      <c r="F71" s="3"/>
    </row>
    <row r="72" spans="6:6" x14ac:dyDescent="0.3">
      <c r="F72" s="3"/>
    </row>
    <row r="73" spans="6:6" x14ac:dyDescent="0.3">
      <c r="F73" s="3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AE48-D034-4A9F-BECA-CB08B7D38074}">
  <dimension ref="A1:J51"/>
  <sheetViews>
    <sheetView workbookViewId="0">
      <selection sqref="A1:J51"/>
    </sheetView>
  </sheetViews>
  <sheetFormatPr defaultRowHeight="14.4" x14ac:dyDescent="0.3"/>
  <cols>
    <col min="2" max="2" width="32.109375" customWidth="1"/>
    <col min="3" max="3" width="26.6640625" customWidth="1"/>
    <col min="4" max="4" width="12.88671875" customWidth="1"/>
    <col min="5" max="5" width="15.6640625" customWidth="1"/>
    <col min="6" max="6" width="17.21875" customWidth="1"/>
    <col min="7" max="7" width="18.77734375" customWidth="1"/>
    <col min="8" max="8" width="14.88671875" customWidth="1"/>
    <col min="9" max="9" width="21" customWidth="1"/>
    <col min="10" max="10" width="14.5546875" customWidth="1"/>
  </cols>
  <sheetData>
    <row r="1" spans="1:10" x14ac:dyDescent="0.3">
      <c r="A1" s="4" t="s">
        <v>0</v>
      </c>
      <c r="B1" s="4" t="s">
        <v>81</v>
      </c>
      <c r="C1" s="4" t="s">
        <v>72</v>
      </c>
      <c r="D1" s="4" t="s">
        <v>71</v>
      </c>
      <c r="E1" s="4" t="s">
        <v>73</v>
      </c>
      <c r="F1" s="4" t="s">
        <v>74</v>
      </c>
      <c r="G1" s="5" t="s">
        <v>75</v>
      </c>
      <c r="H1" s="5" t="s">
        <v>76</v>
      </c>
      <c r="I1" s="4" t="s">
        <v>77</v>
      </c>
      <c r="J1" s="4" t="s">
        <v>80</v>
      </c>
    </row>
    <row r="2" spans="1:10" x14ac:dyDescent="0.3">
      <c r="A2" t="str" cm="1">
        <f t="array" ref="A2:A51">Raw_Clinical_Data!$A2:$A51</f>
        <v>SUB001</v>
      </c>
      <c r="B2" t="str" cm="1">
        <f t="array" ref="B2:B51">IF(COUNTIF(A:A,$A2:$A51)&gt;1,"Duplicate","Unique")</f>
        <v>Unique</v>
      </c>
      <c r="C2" t="str" cm="1">
        <f t="array" aca="1" ref="C2:C51" ca="1">IF(Raw_Clinical_Data!C2:C51&gt;TODAY(),"Future Date","Valid")</f>
        <v>Valid</v>
      </c>
      <c r="D2" t="str">
        <f>IF(OR(Raw_Clinical_Data!D2&lt;18,Raw_Clinical_Data!D2&gt;100),"Invalid Age","Valid")</f>
        <v>Valid</v>
      </c>
      <c r="E2" t="str">
        <f>IF(AND(Raw_Clinical_Data!E2&lt;&gt;"Male",Raw_Clinical_Data!E2&lt;&gt;"Female"),"Invalid Gender","Valid")</f>
        <v>Valid</v>
      </c>
      <c r="F2" t="str">
        <f>IF(Raw_Clinical_Data!F2="","Missing Weight","Available")</f>
        <v>Available</v>
      </c>
      <c r="G2" t="str">
        <f>IF(OR(Raw_Clinical_Data!G2&lt;70,Raw_Clinical_Data!G2&gt;250),"Invalid BP","Valid BP")</f>
        <v>Valid BP</v>
      </c>
      <c r="H2" t="str">
        <f>IF(OR(Raw_Clinical_Data!H2&lt;=40,Raw_Clinical_Data!H2&gt;=150),"Invalid BP","Valid BP")</f>
        <v>Valid BP</v>
      </c>
      <c r="I2" t="str">
        <f>IF(OR(Raw_Clinical_Data!I2="Yes",Raw_Clinical_Data!I2="NO"),"Valid","Invalid AE Entry")</f>
        <v>Valid</v>
      </c>
      <c r="J2" t="str">
        <f>IF(OR(Raw_Clinical_Data!J2="5mg",Raw_Clinical_Data!J2="10mg",Raw_Clinical_Data!J2="15mg"),"Valid","Invalid Dose")</f>
        <v>Valid</v>
      </c>
    </row>
    <row r="3" spans="1:10" x14ac:dyDescent="0.3">
      <c r="A3" t="str">
        <v>SUB002</v>
      </c>
      <c r="B3" t="str">
        <v>Unique</v>
      </c>
      <c r="C3" t="str">
        <f ca="1"/>
        <v>Valid</v>
      </c>
      <c r="D3" t="str">
        <f>IF(OR(Raw_Clinical_Data!D3&lt;18,Raw_Clinical_Data!D3&gt;100),"Invalid Age","Valid")</f>
        <v>Valid</v>
      </c>
      <c r="E3" t="str">
        <f>IF(AND(Raw_Clinical_Data!E3&lt;&gt;"Male",Raw_Clinical_Data!E3&lt;&gt;"Female"),"Invalid Gender","Valid")</f>
        <v>Valid</v>
      </c>
      <c r="F3" t="str">
        <f>IF(Raw_Clinical_Data!F3="","Missing Weight","Available")</f>
        <v>Available</v>
      </c>
      <c r="G3" t="str">
        <f>IF(OR(Raw_Clinical_Data!G3&lt;70,Raw_Clinical_Data!G3&gt;250),"Invalid BP","Valid BP")</f>
        <v>Valid BP</v>
      </c>
      <c r="H3" t="str">
        <f>IF(OR(Raw_Clinical_Data!H3&lt;=40,Raw_Clinical_Data!H3&gt;=150),"Invalid BP","Valid BP")</f>
        <v>Valid BP</v>
      </c>
      <c r="I3" t="str">
        <f>IF(OR(Raw_Clinical_Data!I3="Yes",Raw_Clinical_Data!I3="NO"),"Valid","Invalid AE Entry")</f>
        <v>Valid</v>
      </c>
      <c r="J3" t="str">
        <f>IF(OR(Raw_Clinical_Data!J3="5mg",Raw_Clinical_Data!J3="10mg",Raw_Clinical_Data!J3="15mg"),"Valid","Invalid Dose")</f>
        <v>Valid</v>
      </c>
    </row>
    <row r="4" spans="1:10" x14ac:dyDescent="0.3">
      <c r="A4" t="str">
        <v>SUB003</v>
      </c>
      <c r="B4" t="str">
        <v>Unique</v>
      </c>
      <c r="C4" t="str">
        <f ca="1"/>
        <v>Valid</v>
      </c>
      <c r="D4" t="str">
        <f>IF(OR(Raw_Clinical_Data!D4&lt;18,Raw_Clinical_Data!D4&gt;100),"Invalid Age","Valid")</f>
        <v>Valid</v>
      </c>
      <c r="E4" t="str">
        <f>IF(AND(Raw_Clinical_Data!E4&lt;&gt;"Male",Raw_Clinical_Data!E4&lt;&gt;"Female"),"Invalid Gender","Valid")</f>
        <v>Valid</v>
      </c>
      <c r="F4" t="str">
        <f>IF(Raw_Clinical_Data!F4="","Missing Weight","Available")</f>
        <v>Available</v>
      </c>
      <c r="G4" t="str">
        <f>IF(OR(Raw_Clinical_Data!G4&lt;70,Raw_Clinical_Data!G4&gt;250),"Invalid BP","Valid BP")</f>
        <v>Valid BP</v>
      </c>
      <c r="H4" t="str">
        <f>IF(OR(Raw_Clinical_Data!H4&lt;=40,Raw_Clinical_Data!H4&gt;=150),"Invalid BP","Valid BP")</f>
        <v>Valid BP</v>
      </c>
      <c r="I4" t="str">
        <f>IF(OR(Raw_Clinical_Data!I4="Yes",Raw_Clinical_Data!I4="NO"),"Valid","Invalid AE Entry")</f>
        <v>Valid</v>
      </c>
      <c r="J4" t="str">
        <f>IF(OR(Raw_Clinical_Data!J4="5mg",Raw_Clinical_Data!J4="10mg",Raw_Clinical_Data!J4="15mg"),"Valid","Invalid Dose")</f>
        <v>Valid</v>
      </c>
    </row>
    <row r="5" spans="1:10" x14ac:dyDescent="0.3">
      <c r="A5" t="str">
        <v>SUB004</v>
      </c>
      <c r="B5" t="str">
        <v>Unique</v>
      </c>
      <c r="C5" t="str">
        <f ca="1"/>
        <v>Valid</v>
      </c>
      <c r="D5" t="str">
        <f>IF(OR(Raw_Clinical_Data!D5&lt;18,Raw_Clinical_Data!D5&gt;100),"Invalid Age","Valid")</f>
        <v>Valid</v>
      </c>
      <c r="E5" t="str">
        <f>IF(AND(Raw_Clinical_Data!E5&lt;&gt;"Male",Raw_Clinical_Data!E5&lt;&gt;"Female"),"Invalid Gender","Valid")</f>
        <v>Valid</v>
      </c>
      <c r="F5" t="str">
        <f>IF(Raw_Clinical_Data!F5="","Missing Weight","Available")</f>
        <v>Available</v>
      </c>
      <c r="G5" t="str">
        <f>IF(OR(Raw_Clinical_Data!G5&lt;70,Raw_Clinical_Data!G5&gt;250),"Invalid BP","Valid BP")</f>
        <v>Valid BP</v>
      </c>
      <c r="H5" t="str">
        <f>IF(OR(Raw_Clinical_Data!H5&lt;=40,Raw_Clinical_Data!H5&gt;=150),"Invalid BP","Valid BP")</f>
        <v>Valid BP</v>
      </c>
      <c r="I5" t="str">
        <f>IF(OR(Raw_Clinical_Data!I5="Yes",Raw_Clinical_Data!I5="NO"),"Valid","Invalid AE Entry")</f>
        <v>Valid</v>
      </c>
      <c r="J5" t="str">
        <f>IF(OR(Raw_Clinical_Data!J5="5mg",Raw_Clinical_Data!J5="10mg",Raw_Clinical_Data!J5="15mg"),"Valid","Invalid Dose")</f>
        <v>Valid</v>
      </c>
    </row>
    <row r="6" spans="1:10" x14ac:dyDescent="0.3">
      <c r="A6" t="str">
        <v>SUB005</v>
      </c>
      <c r="B6" t="str">
        <v>Duplicate</v>
      </c>
      <c r="C6" t="str">
        <f ca="1"/>
        <v>Valid</v>
      </c>
      <c r="D6" t="str">
        <f>IF(OR(Raw_Clinical_Data!D6&lt;18,Raw_Clinical_Data!D6&gt;100),"Invalid Age","Valid")</f>
        <v>Valid</v>
      </c>
      <c r="E6" t="str">
        <f>IF(AND(Raw_Clinical_Data!E6&lt;&gt;"Male",Raw_Clinical_Data!E6&lt;&gt;"Female"),"Invalid Gender","Valid")</f>
        <v>Valid</v>
      </c>
      <c r="F6" t="str">
        <f>IF(Raw_Clinical_Data!F6="","Missing Weight","Available")</f>
        <v>Available</v>
      </c>
      <c r="G6" t="str">
        <f>IF(OR(Raw_Clinical_Data!G6&lt;70,Raw_Clinical_Data!G6&gt;250),"Invalid BP","Valid BP")</f>
        <v>Valid BP</v>
      </c>
      <c r="H6" t="str">
        <f>IF(OR(Raw_Clinical_Data!H6&lt;=40,Raw_Clinical_Data!H6&gt;=150),"Invalid BP","Valid BP")</f>
        <v>Valid BP</v>
      </c>
      <c r="I6" t="str">
        <f>IF(OR(Raw_Clinical_Data!I6="Yes",Raw_Clinical_Data!I6="NO"),"Valid","Invalid AE Entry")</f>
        <v>Valid</v>
      </c>
      <c r="J6" t="str">
        <f>IF(OR(Raw_Clinical_Data!J6="5mg",Raw_Clinical_Data!J6="10mg",Raw_Clinical_Data!J6="15mg"),"Valid","Invalid Dose")</f>
        <v>Valid</v>
      </c>
    </row>
    <row r="7" spans="1:10" x14ac:dyDescent="0.3">
      <c r="A7" t="str">
        <v>SUB005</v>
      </c>
      <c r="B7" t="str">
        <v>Duplicate</v>
      </c>
      <c r="C7" t="str">
        <f ca="1"/>
        <v>Valid</v>
      </c>
      <c r="D7" t="str">
        <f>IF(OR(Raw_Clinical_Data!D7&lt;18,Raw_Clinical_Data!D7&gt;100),"Invalid Age","Valid")</f>
        <v>Valid</v>
      </c>
      <c r="E7" t="str">
        <f>IF(AND(Raw_Clinical_Data!E7&lt;&gt;"Male",Raw_Clinical_Data!E7&lt;&gt;"Female"),"Invalid Gender","Valid")</f>
        <v>Valid</v>
      </c>
      <c r="F7" t="str">
        <f>IF(Raw_Clinical_Data!F7="","Missing Weight","Available")</f>
        <v>Available</v>
      </c>
      <c r="G7" t="str">
        <f>IF(OR(Raw_Clinical_Data!G7&lt;70,Raw_Clinical_Data!G7&gt;250),"Invalid BP","Valid BP")</f>
        <v>Valid BP</v>
      </c>
      <c r="H7" t="str">
        <f>IF(OR(Raw_Clinical_Data!H7&lt;=40,Raw_Clinical_Data!H7&gt;=150),"Invalid BP","Valid BP")</f>
        <v>Valid BP</v>
      </c>
      <c r="I7" t="str">
        <f>IF(OR(Raw_Clinical_Data!I7="Yes",Raw_Clinical_Data!I7="NO"),"Valid","Invalid AE Entry")</f>
        <v>Valid</v>
      </c>
      <c r="J7" t="str">
        <f>IF(OR(Raw_Clinical_Data!J7="5mg",Raw_Clinical_Data!J7="10mg",Raw_Clinical_Data!J7="15mg"),"Valid","Invalid Dose")</f>
        <v>Valid</v>
      </c>
    </row>
    <row r="8" spans="1:10" x14ac:dyDescent="0.3">
      <c r="A8" t="str">
        <v>SUB006</v>
      </c>
      <c r="B8" t="str">
        <v>Unique</v>
      </c>
      <c r="C8" t="str">
        <f ca="1"/>
        <v>Valid</v>
      </c>
      <c r="D8" t="str">
        <f>IF(OR(Raw_Clinical_Data!D8&lt;18,Raw_Clinical_Data!D8&gt;100),"Invalid Age","Valid")</f>
        <v>Valid</v>
      </c>
      <c r="E8" t="str">
        <f>IF(AND(Raw_Clinical_Data!E8&lt;&gt;"Male",Raw_Clinical_Data!E8&lt;&gt;"Female"),"Invalid Gender","Valid")</f>
        <v>Valid</v>
      </c>
      <c r="F8" t="str">
        <f>IF(Raw_Clinical_Data!F8="","Missing Weight","Available")</f>
        <v>Available</v>
      </c>
      <c r="G8" t="str">
        <f>IF(OR(Raw_Clinical_Data!G8&lt;70,Raw_Clinical_Data!G8&gt;250),"Invalid BP","Valid BP")</f>
        <v>Invalid BP</v>
      </c>
      <c r="H8" t="str">
        <f>IF(OR(Raw_Clinical_Data!H8&lt;=40,Raw_Clinical_Data!H8&gt;=150),"Invalid BP","Valid BP")</f>
        <v>Valid BP</v>
      </c>
      <c r="I8" t="str">
        <f>IF(OR(Raw_Clinical_Data!I8="Yes",Raw_Clinical_Data!I8="NO"),"Valid","Invalid AE Entry")</f>
        <v>Valid</v>
      </c>
      <c r="J8" t="str">
        <f>IF(OR(Raw_Clinical_Data!J8="5mg",Raw_Clinical_Data!J8="10mg",Raw_Clinical_Data!J8="15mg"),"Valid","Invalid Dose")</f>
        <v>Valid</v>
      </c>
    </row>
    <row r="9" spans="1:10" x14ac:dyDescent="0.3">
      <c r="A9" t="str">
        <v>SUB007</v>
      </c>
      <c r="B9" t="str">
        <v>Unique</v>
      </c>
      <c r="C9" t="str">
        <f ca="1"/>
        <v>Valid</v>
      </c>
      <c r="D9" t="str">
        <f>IF(OR(Raw_Clinical_Data!D9&lt;18,Raw_Clinical_Data!D9&gt;100),"Invalid Age","Valid")</f>
        <v>Valid</v>
      </c>
      <c r="E9" t="str">
        <f>IF(AND(Raw_Clinical_Data!E9&lt;&gt;"Male",Raw_Clinical_Data!E9&lt;&gt;"Female"),"Invalid Gender","Valid")</f>
        <v>Valid</v>
      </c>
      <c r="F9" t="str">
        <f>IF(Raw_Clinical_Data!F9="","Missing Weight","Available")</f>
        <v>Available</v>
      </c>
      <c r="G9" t="str">
        <f>IF(OR(Raw_Clinical_Data!G9&lt;70,Raw_Clinical_Data!G9&gt;250),"Invalid BP","Valid BP")</f>
        <v>Valid BP</v>
      </c>
      <c r="H9" t="str">
        <f>IF(OR(Raw_Clinical_Data!H9&lt;=40,Raw_Clinical_Data!H9&gt;=150),"Invalid BP","Valid BP")</f>
        <v>Valid BP</v>
      </c>
      <c r="I9" t="str">
        <f>IF(OR(Raw_Clinical_Data!I9="Yes",Raw_Clinical_Data!I9="NO"),"Valid","Invalid AE Entry")</f>
        <v>Valid</v>
      </c>
      <c r="J9" t="str">
        <f>IF(OR(Raw_Clinical_Data!J9="5mg",Raw_Clinical_Data!J9="10mg",Raw_Clinical_Data!J9="15mg"),"Valid","Invalid Dose")</f>
        <v>Valid</v>
      </c>
    </row>
    <row r="10" spans="1:10" x14ac:dyDescent="0.3">
      <c r="A10" t="str">
        <v>SUB008</v>
      </c>
      <c r="B10" t="str">
        <v>Unique</v>
      </c>
      <c r="C10" t="str">
        <f ca="1"/>
        <v>Valid</v>
      </c>
      <c r="D10" t="str">
        <f>IF(OR(Raw_Clinical_Data!D10&lt;18,Raw_Clinical_Data!D10&gt;100),"Invalid Age","Valid")</f>
        <v>Valid</v>
      </c>
      <c r="E10" t="str">
        <f>IF(AND(Raw_Clinical_Data!E10&lt;&gt;"Male",Raw_Clinical_Data!E10&lt;&gt;"Female"),"Invalid Gender","Valid")</f>
        <v>Valid</v>
      </c>
      <c r="F10" t="str">
        <f>IF(Raw_Clinical_Data!F10="","Missing Weight","Available")</f>
        <v>Available</v>
      </c>
      <c r="G10" t="str">
        <f>IF(OR(Raw_Clinical_Data!G10&lt;70,Raw_Clinical_Data!G10&gt;250),"Invalid BP","Valid BP")</f>
        <v>Valid BP</v>
      </c>
      <c r="H10" t="str">
        <f>IF(OR(Raw_Clinical_Data!H10&lt;=40,Raw_Clinical_Data!H10&gt;=150),"Invalid BP","Valid BP")</f>
        <v>Valid BP</v>
      </c>
      <c r="I10" t="str">
        <f>IF(OR(Raw_Clinical_Data!I10="Yes",Raw_Clinical_Data!I10="NO"),"Valid","Invalid AE Entry")</f>
        <v>Valid</v>
      </c>
      <c r="J10" t="str">
        <f>IF(OR(Raw_Clinical_Data!J10="5mg",Raw_Clinical_Data!J10="10mg",Raw_Clinical_Data!J10="15mg"),"Valid","Invalid Dose")</f>
        <v>Valid</v>
      </c>
    </row>
    <row r="11" spans="1:10" x14ac:dyDescent="0.3">
      <c r="A11" t="str">
        <v>SUB010</v>
      </c>
      <c r="B11" t="str">
        <v>Unique</v>
      </c>
      <c r="C11" t="str">
        <f ca="1"/>
        <v>Valid</v>
      </c>
      <c r="D11" t="str">
        <f>IF(OR(Raw_Clinical_Data!D11&lt;18,Raw_Clinical_Data!D11&gt;100),"Invalid Age","Valid")</f>
        <v>Valid</v>
      </c>
      <c r="E11" t="str">
        <f>IF(AND(Raw_Clinical_Data!E11&lt;&gt;"Male",Raw_Clinical_Data!E11&lt;&gt;"Female"),"Invalid Gender","Valid")</f>
        <v>Valid</v>
      </c>
      <c r="F11" t="str">
        <f>IF(Raw_Clinical_Data!F11="","Missing Weight","Available")</f>
        <v>Available</v>
      </c>
      <c r="G11" t="str">
        <f>IF(OR(Raw_Clinical_Data!G11&lt;70,Raw_Clinical_Data!G11&gt;250),"Invalid BP","Valid BP")</f>
        <v>Valid BP</v>
      </c>
      <c r="H11" t="str">
        <f>IF(OR(Raw_Clinical_Data!H11&lt;=40,Raw_Clinical_Data!H11&gt;=150),"Invalid BP","Valid BP")</f>
        <v>Valid BP</v>
      </c>
      <c r="I11" t="str">
        <f>IF(OR(Raw_Clinical_Data!I11="Yes",Raw_Clinical_Data!I11="NO"),"Valid","Invalid AE Entry")</f>
        <v>Valid</v>
      </c>
      <c r="J11" t="str">
        <f>IF(OR(Raw_Clinical_Data!J11="5mg",Raw_Clinical_Data!J11="10mg",Raw_Clinical_Data!J11="15mg"),"Valid","Invalid Dose")</f>
        <v>Valid</v>
      </c>
    </row>
    <row r="12" spans="1:10" x14ac:dyDescent="0.3">
      <c r="A12" t="str">
        <v>SUB011</v>
      </c>
      <c r="B12" t="str">
        <v>Unique</v>
      </c>
      <c r="C12" t="str">
        <f ca="1"/>
        <v>Valid</v>
      </c>
      <c r="D12" t="str">
        <f>IF(OR(Raw_Clinical_Data!D12&lt;18,Raw_Clinical_Data!D12&gt;100),"Invalid Age","Valid")</f>
        <v>Valid</v>
      </c>
      <c r="E12" t="str">
        <f>IF(AND(Raw_Clinical_Data!E12&lt;&gt;"Male",Raw_Clinical_Data!E12&lt;&gt;"Female"),"Invalid Gender","Valid")</f>
        <v>Valid</v>
      </c>
      <c r="F12" t="str">
        <f>IF(Raw_Clinical_Data!F12="","Missing Weight","Available")</f>
        <v>Available</v>
      </c>
      <c r="G12" t="str">
        <f>IF(OR(Raw_Clinical_Data!G12&lt;70,Raw_Clinical_Data!G12&gt;250),"Invalid BP","Valid BP")</f>
        <v>Valid BP</v>
      </c>
      <c r="H12" t="str">
        <f>IF(OR(Raw_Clinical_Data!H12&lt;=40,Raw_Clinical_Data!H12&gt;=150),"Invalid BP","Valid BP")</f>
        <v>Valid BP</v>
      </c>
      <c r="I12" t="str">
        <f>IF(OR(Raw_Clinical_Data!I12="Yes",Raw_Clinical_Data!I12="NO"),"Valid","Invalid AE Entry")</f>
        <v>Valid</v>
      </c>
      <c r="J12" t="str">
        <f>IF(OR(Raw_Clinical_Data!J12="5mg",Raw_Clinical_Data!J12="10mg",Raw_Clinical_Data!J12="15mg"),"Valid","Invalid Dose")</f>
        <v>Valid</v>
      </c>
    </row>
    <row r="13" spans="1:10" x14ac:dyDescent="0.3">
      <c r="A13" t="str">
        <v>SUB012</v>
      </c>
      <c r="B13" t="str">
        <v>Unique</v>
      </c>
      <c r="C13" t="str">
        <f ca="1"/>
        <v>Valid</v>
      </c>
      <c r="D13" t="str">
        <f>IF(OR(Raw_Clinical_Data!D13&lt;18,Raw_Clinical_Data!D13&gt;100),"Invalid Age","Valid")</f>
        <v>Valid</v>
      </c>
      <c r="E13" t="str">
        <f>IF(AND(Raw_Clinical_Data!E13&lt;&gt;"Male",Raw_Clinical_Data!E13&lt;&gt;"Female"),"Invalid Gender","Valid")</f>
        <v>Valid</v>
      </c>
      <c r="F13" t="str">
        <f>IF(Raw_Clinical_Data!F13="","Missing Weight","Available")</f>
        <v>Available</v>
      </c>
      <c r="G13" t="str">
        <f>IF(OR(Raw_Clinical_Data!G13&lt;70,Raw_Clinical_Data!G13&gt;250),"Invalid BP","Valid BP")</f>
        <v>Valid BP</v>
      </c>
      <c r="H13" t="str">
        <f>IF(OR(Raw_Clinical_Data!H13&lt;=40,Raw_Clinical_Data!H13&gt;=150),"Invalid BP","Valid BP")</f>
        <v>Valid BP</v>
      </c>
      <c r="I13" t="str">
        <f>IF(OR(Raw_Clinical_Data!I13="Yes",Raw_Clinical_Data!I13="NO"),"Valid","Invalid AE Entry")</f>
        <v>Valid</v>
      </c>
      <c r="J13" t="str">
        <f>IF(OR(Raw_Clinical_Data!J13="5mg",Raw_Clinical_Data!J13="10mg",Raw_Clinical_Data!J13="15mg"),"Valid","Invalid Dose")</f>
        <v>Valid</v>
      </c>
    </row>
    <row r="14" spans="1:10" x14ac:dyDescent="0.3">
      <c r="A14" t="str">
        <v>SUB013</v>
      </c>
      <c r="B14" t="str">
        <v>Unique</v>
      </c>
      <c r="C14" t="str">
        <f ca="1"/>
        <v>Valid</v>
      </c>
      <c r="D14" t="str">
        <f>IF(OR(Raw_Clinical_Data!D14&lt;18,Raw_Clinical_Data!D14&gt;100),"Invalid Age","Valid")</f>
        <v>Valid</v>
      </c>
      <c r="E14" t="str">
        <f>IF(AND(Raw_Clinical_Data!E14&lt;&gt;"Male",Raw_Clinical_Data!E14&lt;&gt;"Female"),"Invalid Gender","Valid")</f>
        <v>Valid</v>
      </c>
      <c r="F14" t="str">
        <f>IF(Raw_Clinical_Data!F14="","Missing Weight","Available")</f>
        <v>Available</v>
      </c>
      <c r="G14" t="str">
        <f>IF(OR(Raw_Clinical_Data!G14&lt;70,Raw_Clinical_Data!G14&gt;250),"Invalid BP","Valid BP")</f>
        <v>Valid BP</v>
      </c>
      <c r="H14" t="str">
        <f>IF(OR(Raw_Clinical_Data!H14&lt;=40,Raw_Clinical_Data!H14&gt;=150),"Invalid BP","Valid BP")</f>
        <v>Valid BP</v>
      </c>
      <c r="I14" t="str">
        <f>IF(OR(Raw_Clinical_Data!I14="Yes",Raw_Clinical_Data!I14="NO"),"Valid","Invalid AE Entry")</f>
        <v>Valid</v>
      </c>
      <c r="J14" t="str">
        <f>IF(OR(Raw_Clinical_Data!J14="5mg",Raw_Clinical_Data!J14="10mg",Raw_Clinical_Data!J14="15mg"),"Valid","Invalid Dose")</f>
        <v>Valid</v>
      </c>
    </row>
    <row r="15" spans="1:10" x14ac:dyDescent="0.3">
      <c r="A15" t="str">
        <v>SUB014</v>
      </c>
      <c r="B15" t="str">
        <v>Unique</v>
      </c>
      <c r="C15" t="str">
        <f ca="1"/>
        <v>Valid</v>
      </c>
      <c r="D15" t="str">
        <f>IF(OR(Raw_Clinical_Data!D15&lt;18,Raw_Clinical_Data!D15&gt;100),"Invalid Age","Valid")</f>
        <v>Invalid Age</v>
      </c>
      <c r="E15" t="str">
        <f>IF(AND(Raw_Clinical_Data!E15&lt;&gt;"Male",Raw_Clinical_Data!E15&lt;&gt;"Female"),"Invalid Gender","Valid")</f>
        <v>Valid</v>
      </c>
      <c r="F15" t="str">
        <f>IF(Raw_Clinical_Data!F15="","Missing Weight","Available")</f>
        <v>Available</v>
      </c>
      <c r="G15" t="str">
        <f>IF(OR(Raw_Clinical_Data!G15&lt;70,Raw_Clinical_Data!G15&gt;250),"Invalid BP","Valid BP")</f>
        <v>Valid BP</v>
      </c>
      <c r="H15" t="str">
        <f>IF(OR(Raw_Clinical_Data!H15&lt;=40,Raw_Clinical_Data!H15&gt;=150),"Invalid BP","Valid BP")</f>
        <v>Valid BP</v>
      </c>
      <c r="I15" t="str">
        <f>IF(OR(Raw_Clinical_Data!I15="Yes",Raw_Clinical_Data!I15="NO"),"Valid","Invalid AE Entry")</f>
        <v>Valid</v>
      </c>
      <c r="J15" t="str">
        <f>IF(OR(Raw_Clinical_Data!J15="5mg",Raw_Clinical_Data!J15="10mg",Raw_Clinical_Data!J15="15mg"),"Valid","Invalid Dose")</f>
        <v>Valid</v>
      </c>
    </row>
    <row r="16" spans="1:10" x14ac:dyDescent="0.3">
      <c r="A16" t="str">
        <v>SUB015</v>
      </c>
      <c r="B16" t="str">
        <v>Unique</v>
      </c>
      <c r="C16" t="str">
        <f ca="1"/>
        <v>Valid</v>
      </c>
      <c r="D16" t="str">
        <f>IF(OR(Raw_Clinical_Data!D16&lt;18,Raw_Clinical_Data!D16&gt;100),"Invalid Age","Valid")</f>
        <v>Valid</v>
      </c>
      <c r="E16" t="str">
        <f>IF(AND(Raw_Clinical_Data!E16&lt;&gt;"Male",Raw_Clinical_Data!E16&lt;&gt;"Female"),"Invalid Gender","Valid")</f>
        <v>Valid</v>
      </c>
      <c r="F16" t="str">
        <f>IF(Raw_Clinical_Data!F16="","Missing Weight","Available")</f>
        <v>Available</v>
      </c>
      <c r="G16" t="str">
        <f>IF(OR(Raw_Clinical_Data!G16&lt;70,Raw_Clinical_Data!G16&gt;250),"Invalid BP","Valid BP")</f>
        <v>Valid BP</v>
      </c>
      <c r="H16" t="str">
        <f>IF(OR(Raw_Clinical_Data!H16&lt;=40,Raw_Clinical_Data!H16&gt;=150),"Invalid BP","Valid BP")</f>
        <v>Valid BP</v>
      </c>
      <c r="I16" t="str">
        <f>IF(OR(Raw_Clinical_Data!I16="Yes",Raw_Clinical_Data!I16="NO"),"Valid","Invalid AE Entry")</f>
        <v>Valid</v>
      </c>
      <c r="J16" t="str">
        <f>IF(OR(Raw_Clinical_Data!J16="5mg",Raw_Clinical_Data!J16="10mg",Raw_Clinical_Data!J16="15mg"),"Valid","Invalid Dose")</f>
        <v>Valid</v>
      </c>
    </row>
    <row r="17" spans="1:10" x14ac:dyDescent="0.3">
      <c r="A17" t="str">
        <v>SUB016</v>
      </c>
      <c r="B17" t="str">
        <v>Unique</v>
      </c>
      <c r="C17" t="str">
        <f ca="1"/>
        <v>Valid</v>
      </c>
      <c r="D17" t="str">
        <f>IF(OR(Raw_Clinical_Data!D17&lt;18,Raw_Clinical_Data!D17&gt;100),"Invalid Age","Valid")</f>
        <v>Valid</v>
      </c>
      <c r="E17" t="str">
        <f>IF(AND(Raw_Clinical_Data!E17&lt;&gt;"Male",Raw_Clinical_Data!E17&lt;&gt;"Female"),"Invalid Gender","Valid")</f>
        <v>Valid</v>
      </c>
      <c r="F17" t="str">
        <f>IF(Raw_Clinical_Data!F17="","Missing Weight","Available")</f>
        <v>Available</v>
      </c>
      <c r="G17" t="str">
        <f>IF(OR(Raw_Clinical_Data!G17&lt;70,Raw_Clinical_Data!G17&gt;250),"Invalid BP","Valid BP")</f>
        <v>Valid BP</v>
      </c>
      <c r="H17" t="str">
        <f>IF(OR(Raw_Clinical_Data!H17&lt;=40,Raw_Clinical_Data!H17&gt;=150),"Invalid BP","Valid BP")</f>
        <v>Valid BP</v>
      </c>
      <c r="I17" t="str">
        <f>IF(OR(Raw_Clinical_Data!I17="Yes",Raw_Clinical_Data!I17="NO"),"Valid","Invalid AE Entry")</f>
        <v>Valid</v>
      </c>
      <c r="J17" t="str">
        <f>IF(OR(Raw_Clinical_Data!J17="5mg",Raw_Clinical_Data!J17="10mg",Raw_Clinical_Data!J17="15mg"),"Valid","Invalid Dose")</f>
        <v>Valid</v>
      </c>
    </row>
    <row r="18" spans="1:10" x14ac:dyDescent="0.3">
      <c r="A18" t="str">
        <v>SUB017</v>
      </c>
      <c r="B18" t="str">
        <v>Unique</v>
      </c>
      <c r="C18" t="str">
        <f ca="1"/>
        <v>Valid</v>
      </c>
      <c r="D18" t="str">
        <f>IF(OR(Raw_Clinical_Data!D18&lt;18,Raw_Clinical_Data!D18&gt;100),"Invalid Age","Valid")</f>
        <v>Valid</v>
      </c>
      <c r="E18" t="str">
        <f>IF(AND(Raw_Clinical_Data!E18&lt;&gt;"Male",Raw_Clinical_Data!E18&lt;&gt;"Female"),"Invalid Gender","Valid")</f>
        <v>Valid</v>
      </c>
      <c r="F18" t="str">
        <f>IF(Raw_Clinical_Data!F18="","Missing Weight","Available")</f>
        <v>Available</v>
      </c>
      <c r="G18" t="str">
        <f>IF(OR(Raw_Clinical_Data!G18&lt;70,Raw_Clinical_Data!G18&gt;250),"Invalid BP","Valid BP")</f>
        <v>Valid BP</v>
      </c>
      <c r="H18" t="str">
        <f>IF(OR(Raw_Clinical_Data!H18&lt;=40,Raw_Clinical_Data!H18&gt;=150),"Invalid BP","Valid BP")</f>
        <v>Valid BP</v>
      </c>
      <c r="I18" t="str">
        <f>IF(OR(Raw_Clinical_Data!I18="Yes",Raw_Clinical_Data!I18="NO"),"Valid","Invalid AE Entry")</f>
        <v>Valid</v>
      </c>
      <c r="J18" t="str">
        <f>IF(OR(Raw_Clinical_Data!J18="5mg",Raw_Clinical_Data!J18="10mg",Raw_Clinical_Data!J18="15mg"),"Valid","Invalid Dose")</f>
        <v>Valid</v>
      </c>
    </row>
    <row r="19" spans="1:10" x14ac:dyDescent="0.3">
      <c r="A19" t="str">
        <v>SUB018</v>
      </c>
      <c r="B19" t="str">
        <v>Unique</v>
      </c>
      <c r="C19" t="str">
        <f ca="1"/>
        <v>Valid</v>
      </c>
      <c r="D19" t="str">
        <f>IF(OR(Raw_Clinical_Data!D19&lt;18,Raw_Clinical_Data!D19&gt;100),"Invalid Age","Valid")</f>
        <v>Valid</v>
      </c>
      <c r="E19" t="str">
        <f>IF(AND(Raw_Clinical_Data!E19&lt;&gt;"Male",Raw_Clinical_Data!E19&lt;&gt;"Female"),"Invalid Gender","Valid")</f>
        <v>Valid</v>
      </c>
      <c r="F19" t="str">
        <f>IF(Raw_Clinical_Data!F19="","Missing Weight","Available")</f>
        <v>Available</v>
      </c>
      <c r="G19" t="str">
        <f>IF(OR(Raw_Clinical_Data!G19&lt;70,Raw_Clinical_Data!G19&gt;250),"Invalid BP","Valid BP")</f>
        <v>Valid BP</v>
      </c>
      <c r="H19" t="str">
        <f>IF(OR(Raw_Clinical_Data!H19&lt;=40,Raw_Clinical_Data!H19&gt;=150),"Invalid BP","Valid BP")</f>
        <v>Valid BP</v>
      </c>
      <c r="I19" t="str">
        <f>IF(OR(Raw_Clinical_Data!I19="Yes",Raw_Clinical_Data!I19="NO"),"Valid","Invalid AE Entry")</f>
        <v>Valid</v>
      </c>
      <c r="J19" t="str">
        <f>IF(OR(Raw_Clinical_Data!J19="5mg",Raw_Clinical_Data!J19="10mg",Raw_Clinical_Data!J19="15mg"),"Valid","Invalid Dose")</f>
        <v>Valid</v>
      </c>
    </row>
    <row r="20" spans="1:10" x14ac:dyDescent="0.3">
      <c r="A20" t="str">
        <v>SUB019</v>
      </c>
      <c r="B20" t="str">
        <v>Unique</v>
      </c>
      <c r="C20" t="str">
        <f ca="1"/>
        <v>Future Date</v>
      </c>
      <c r="D20" t="str">
        <f>IF(OR(Raw_Clinical_Data!D20&lt;18,Raw_Clinical_Data!D20&gt;100),"Invalid Age","Valid")</f>
        <v>Valid</v>
      </c>
      <c r="E20" t="str">
        <f>IF(AND(Raw_Clinical_Data!E20&lt;&gt;"Male",Raw_Clinical_Data!E20&lt;&gt;"Female"),"Invalid Gender","Valid")</f>
        <v>Valid</v>
      </c>
      <c r="F20" t="str">
        <f>IF(Raw_Clinical_Data!F20="","Missing Weight","Available")</f>
        <v>Available</v>
      </c>
      <c r="G20" t="str">
        <f>IF(OR(Raw_Clinical_Data!G20&lt;70,Raw_Clinical_Data!G20&gt;250),"Invalid BP","Valid BP")</f>
        <v>Valid BP</v>
      </c>
      <c r="H20" t="str">
        <f>IF(OR(Raw_Clinical_Data!H20&lt;=40,Raw_Clinical_Data!H20&gt;=150),"Invalid BP","Valid BP")</f>
        <v>Valid BP</v>
      </c>
      <c r="I20" t="str">
        <f>IF(OR(Raw_Clinical_Data!I20="Yes",Raw_Clinical_Data!I20="NO"),"Valid","Invalid AE Entry")</f>
        <v>Invalid AE Entry</v>
      </c>
      <c r="J20" t="str">
        <f>IF(OR(Raw_Clinical_Data!J20="5mg",Raw_Clinical_Data!J20="10mg",Raw_Clinical_Data!J20="15mg"),"Valid","Invalid Dose")</f>
        <v>Valid</v>
      </c>
    </row>
    <row r="21" spans="1:10" x14ac:dyDescent="0.3">
      <c r="A21" t="str">
        <v>SUB020</v>
      </c>
      <c r="B21" t="str">
        <v>Unique</v>
      </c>
      <c r="C21" t="str">
        <f ca="1"/>
        <v>Valid</v>
      </c>
      <c r="D21" t="str">
        <f>IF(OR(Raw_Clinical_Data!D21&lt;18,Raw_Clinical_Data!D21&gt;100),"Invalid Age","Valid")</f>
        <v>Valid</v>
      </c>
      <c r="E21" t="str">
        <f>IF(AND(Raw_Clinical_Data!E21&lt;&gt;"Male",Raw_Clinical_Data!E21&lt;&gt;"Female"),"Invalid Gender","Valid")</f>
        <v>Valid</v>
      </c>
      <c r="F21" t="str">
        <f>IF(Raw_Clinical_Data!F21="","Missing Weight","Available")</f>
        <v>Available</v>
      </c>
      <c r="G21" t="str">
        <f>IF(OR(Raw_Clinical_Data!G21&lt;70,Raw_Clinical_Data!G21&gt;250),"Invalid BP","Valid BP")</f>
        <v>Valid BP</v>
      </c>
      <c r="H21" t="str">
        <f>IF(OR(Raw_Clinical_Data!H21&lt;=40,Raw_Clinical_Data!H21&gt;=150),"Invalid BP","Valid BP")</f>
        <v>Valid BP</v>
      </c>
      <c r="I21" t="str">
        <f>IF(OR(Raw_Clinical_Data!I21="Yes",Raw_Clinical_Data!I21="NO"),"Valid","Invalid AE Entry")</f>
        <v>Valid</v>
      </c>
      <c r="J21" t="str">
        <f>IF(OR(Raw_Clinical_Data!J21="5mg",Raw_Clinical_Data!J21="10mg",Raw_Clinical_Data!J21="15mg"),"Valid","Invalid Dose")</f>
        <v>Valid</v>
      </c>
    </row>
    <row r="22" spans="1:10" x14ac:dyDescent="0.3">
      <c r="A22" t="str">
        <v>SUB021</v>
      </c>
      <c r="B22" t="str">
        <v>Unique</v>
      </c>
      <c r="C22" t="str">
        <f ca="1"/>
        <v>Valid</v>
      </c>
      <c r="D22" t="str">
        <f>IF(OR(Raw_Clinical_Data!D22&lt;18,Raw_Clinical_Data!D22&gt;100),"Invalid Age","Valid")</f>
        <v>Valid</v>
      </c>
      <c r="E22" t="str">
        <f>IF(AND(Raw_Clinical_Data!E22&lt;&gt;"Male",Raw_Clinical_Data!E22&lt;&gt;"Female"),"Invalid Gender","Valid")</f>
        <v>Valid</v>
      </c>
      <c r="F22" t="str">
        <f>IF(Raw_Clinical_Data!F22="","Missing Weight","Available")</f>
        <v>Available</v>
      </c>
      <c r="G22" t="str">
        <f>IF(OR(Raw_Clinical_Data!G22&lt;70,Raw_Clinical_Data!G22&gt;250),"Invalid BP","Valid BP")</f>
        <v>Valid BP</v>
      </c>
      <c r="H22" t="str">
        <f>IF(OR(Raw_Clinical_Data!H22&lt;=40,Raw_Clinical_Data!H22&gt;=150),"Invalid BP","Valid BP")</f>
        <v>Valid BP</v>
      </c>
      <c r="I22" t="str">
        <f>IF(OR(Raw_Clinical_Data!I22="Yes",Raw_Clinical_Data!I22="NO"),"Valid","Invalid AE Entry")</f>
        <v>Valid</v>
      </c>
      <c r="J22" t="str">
        <f>IF(OR(Raw_Clinical_Data!J22="5mg",Raw_Clinical_Data!J22="10mg",Raw_Clinical_Data!J22="15mg"),"Valid","Invalid Dose")</f>
        <v>Valid</v>
      </c>
    </row>
    <row r="23" spans="1:10" x14ac:dyDescent="0.3">
      <c r="A23" t="str">
        <v>SUB022</v>
      </c>
      <c r="B23" t="str">
        <v>Unique</v>
      </c>
      <c r="C23" t="str">
        <f ca="1"/>
        <v>Valid</v>
      </c>
      <c r="D23" t="str">
        <f>IF(OR(Raw_Clinical_Data!D23&lt;18,Raw_Clinical_Data!D23&gt;100),"Invalid Age","Valid")</f>
        <v>Valid</v>
      </c>
      <c r="E23" t="str">
        <f>IF(AND(Raw_Clinical_Data!E23&lt;&gt;"Male",Raw_Clinical_Data!E23&lt;&gt;"Female"),"Invalid Gender","Valid")</f>
        <v>Valid</v>
      </c>
      <c r="F23" t="str">
        <f>IF(Raw_Clinical_Data!F23="","Missing Weight","Available")</f>
        <v>Available</v>
      </c>
      <c r="G23" t="str">
        <f>IF(OR(Raw_Clinical_Data!G23&lt;70,Raw_Clinical_Data!G23&gt;250),"Invalid BP","Valid BP")</f>
        <v>Valid BP</v>
      </c>
      <c r="H23" t="str">
        <f>IF(OR(Raw_Clinical_Data!H23&lt;=40,Raw_Clinical_Data!H23&gt;=150),"Invalid BP","Valid BP")</f>
        <v>Valid BP</v>
      </c>
      <c r="I23" t="str">
        <f>IF(OR(Raw_Clinical_Data!I23="Yes",Raw_Clinical_Data!I23="NO"),"Valid","Invalid AE Entry")</f>
        <v>Valid</v>
      </c>
      <c r="J23" t="str">
        <f>IF(OR(Raw_Clinical_Data!J23="5mg",Raw_Clinical_Data!J23="10mg",Raw_Clinical_Data!J23="15mg"),"Valid","Invalid Dose")</f>
        <v>Valid</v>
      </c>
    </row>
    <row r="24" spans="1:10" x14ac:dyDescent="0.3">
      <c r="A24" t="str">
        <v>SUB023</v>
      </c>
      <c r="B24" t="str">
        <v>Unique</v>
      </c>
      <c r="C24" t="str">
        <f ca="1"/>
        <v>Valid</v>
      </c>
      <c r="D24" t="str">
        <f>IF(OR(Raw_Clinical_Data!D24&lt;18,Raw_Clinical_Data!D24&gt;100),"Invalid Age","Valid")</f>
        <v>Valid</v>
      </c>
      <c r="E24" t="str">
        <f>IF(AND(Raw_Clinical_Data!E24&lt;&gt;"Male",Raw_Clinical_Data!E24&lt;&gt;"Female"),"Invalid Gender","Valid")</f>
        <v>Valid</v>
      </c>
      <c r="F24" t="str">
        <f>IF(Raw_Clinical_Data!F24="","Missing Weight","Available")</f>
        <v>Available</v>
      </c>
      <c r="G24" t="str">
        <f>IF(OR(Raw_Clinical_Data!G24&lt;70,Raw_Clinical_Data!G24&gt;250),"Invalid BP","Valid BP")</f>
        <v>Valid BP</v>
      </c>
      <c r="H24" t="str">
        <f>IF(OR(Raw_Clinical_Data!H24&lt;=40,Raw_Clinical_Data!H24&gt;=150),"Invalid BP","Valid BP")</f>
        <v>Valid BP</v>
      </c>
      <c r="I24" t="str">
        <f>IF(OR(Raw_Clinical_Data!I24="Yes",Raw_Clinical_Data!I24="NO"),"Valid","Invalid AE Entry")</f>
        <v>Valid</v>
      </c>
      <c r="J24" t="str">
        <f>IF(OR(Raw_Clinical_Data!J24="5mg",Raw_Clinical_Data!J24="10mg",Raw_Clinical_Data!J24="15mg"),"Valid","Invalid Dose")</f>
        <v>Valid</v>
      </c>
    </row>
    <row r="25" spans="1:10" x14ac:dyDescent="0.3">
      <c r="A25" t="str">
        <v>SUB024</v>
      </c>
      <c r="B25" t="str">
        <v>Unique</v>
      </c>
      <c r="C25" t="str">
        <f ca="1"/>
        <v>Valid</v>
      </c>
      <c r="D25" t="str">
        <f>IF(OR(Raw_Clinical_Data!D25&lt;18,Raw_Clinical_Data!D25&gt;100),"Invalid Age","Valid")</f>
        <v>Valid</v>
      </c>
      <c r="E25" t="str">
        <f>IF(AND(Raw_Clinical_Data!E25&lt;&gt;"Male",Raw_Clinical_Data!E25&lt;&gt;"Female"),"Invalid Gender","Valid")</f>
        <v>Invalid Gender</v>
      </c>
      <c r="F25" t="str">
        <f>IF(Raw_Clinical_Data!F25="","Missing Weight","Available")</f>
        <v>Available</v>
      </c>
      <c r="G25" t="str">
        <f>IF(OR(Raw_Clinical_Data!G25&lt;70,Raw_Clinical_Data!G25&gt;250),"Invalid BP","Valid BP")</f>
        <v>Valid BP</v>
      </c>
      <c r="H25" t="str">
        <f>IF(OR(Raw_Clinical_Data!H25&lt;=40,Raw_Clinical_Data!H25&gt;=150),"Invalid BP","Valid BP")</f>
        <v>Valid BP</v>
      </c>
      <c r="I25" t="str">
        <f>IF(OR(Raw_Clinical_Data!I25="Yes",Raw_Clinical_Data!I25="NO"),"Valid","Invalid AE Entry")</f>
        <v>Valid</v>
      </c>
      <c r="J25" t="str">
        <f>IF(OR(Raw_Clinical_Data!J25="5mg",Raw_Clinical_Data!J25="10mg",Raw_Clinical_Data!J25="15mg"),"Valid","Invalid Dose")</f>
        <v>Valid</v>
      </c>
    </row>
    <row r="26" spans="1:10" x14ac:dyDescent="0.3">
      <c r="A26" t="str">
        <v>SUB025</v>
      </c>
      <c r="B26" t="str">
        <v>Unique</v>
      </c>
      <c r="C26" t="str">
        <f ca="1"/>
        <v>Valid</v>
      </c>
      <c r="D26" t="str">
        <f>IF(OR(Raw_Clinical_Data!D26&lt;18,Raw_Clinical_Data!D26&gt;100),"Invalid Age","Valid")</f>
        <v>Valid</v>
      </c>
      <c r="E26" t="str">
        <f>IF(AND(Raw_Clinical_Data!E26&lt;&gt;"Male",Raw_Clinical_Data!E26&lt;&gt;"Female"),"Invalid Gender","Valid")</f>
        <v>Valid</v>
      </c>
      <c r="F26" t="str">
        <f>IF(Raw_Clinical_Data!F26="","Missing Weight","Available")</f>
        <v>Available</v>
      </c>
      <c r="G26" t="str">
        <f>IF(OR(Raw_Clinical_Data!G26&lt;70,Raw_Clinical_Data!G26&gt;250),"Invalid BP","Valid BP")</f>
        <v>Valid BP</v>
      </c>
      <c r="H26" t="str">
        <f>IF(OR(Raw_Clinical_Data!H26&lt;=40,Raw_Clinical_Data!H26&gt;=150),"Invalid BP","Valid BP")</f>
        <v>Valid BP</v>
      </c>
      <c r="I26" t="str">
        <f>IF(OR(Raw_Clinical_Data!I26="Yes",Raw_Clinical_Data!I26="NO"),"Valid","Invalid AE Entry")</f>
        <v>Valid</v>
      </c>
      <c r="J26" t="str">
        <f>IF(OR(Raw_Clinical_Data!J26="5mg",Raw_Clinical_Data!J26="10mg",Raw_Clinical_Data!J26="15mg"),"Valid","Invalid Dose")</f>
        <v>Valid</v>
      </c>
    </row>
    <row r="27" spans="1:10" x14ac:dyDescent="0.3">
      <c r="A27" t="str">
        <v>SUB026</v>
      </c>
      <c r="B27" t="str">
        <v>Unique</v>
      </c>
      <c r="C27" t="str">
        <f ca="1"/>
        <v>Valid</v>
      </c>
      <c r="D27" t="str">
        <f>IF(OR(Raw_Clinical_Data!D27&lt;18,Raw_Clinical_Data!D27&gt;100),"Invalid Age","Valid")</f>
        <v>Valid</v>
      </c>
      <c r="E27" t="str">
        <f>IF(AND(Raw_Clinical_Data!E27&lt;&gt;"Male",Raw_Clinical_Data!E27&lt;&gt;"Female"),"Invalid Gender","Valid")</f>
        <v>Valid</v>
      </c>
      <c r="F27" t="str">
        <f>IF(Raw_Clinical_Data!F27="","Missing Weight","Available")</f>
        <v>Available</v>
      </c>
      <c r="G27" t="str">
        <f>IF(OR(Raw_Clinical_Data!G27&lt;70,Raw_Clinical_Data!G27&gt;250),"Invalid BP","Valid BP")</f>
        <v>Valid BP</v>
      </c>
      <c r="H27" t="str">
        <f>IF(OR(Raw_Clinical_Data!H27&lt;=40,Raw_Clinical_Data!H27&gt;=150),"Invalid BP","Valid BP")</f>
        <v>Valid BP</v>
      </c>
      <c r="I27" t="str">
        <f>IF(OR(Raw_Clinical_Data!I27="Yes",Raw_Clinical_Data!I27="NO"),"Valid","Invalid AE Entry")</f>
        <v>Valid</v>
      </c>
      <c r="J27" t="str">
        <f>IF(OR(Raw_Clinical_Data!J27="5mg",Raw_Clinical_Data!J27="10mg",Raw_Clinical_Data!J27="15mg"),"Valid","Invalid Dose")</f>
        <v>Valid</v>
      </c>
    </row>
    <row r="28" spans="1:10" x14ac:dyDescent="0.3">
      <c r="A28" t="str">
        <v>SUB027</v>
      </c>
      <c r="B28" t="str">
        <v>Unique</v>
      </c>
      <c r="C28" t="str">
        <f ca="1"/>
        <v>Valid</v>
      </c>
      <c r="D28" t="str">
        <f>IF(OR(Raw_Clinical_Data!D28&lt;18,Raw_Clinical_Data!D28&gt;100),"Invalid Age","Valid")</f>
        <v>Valid</v>
      </c>
      <c r="E28" t="str">
        <f>IF(AND(Raw_Clinical_Data!E28&lt;&gt;"Male",Raw_Clinical_Data!E28&lt;&gt;"Female"),"Invalid Gender","Valid")</f>
        <v>Valid</v>
      </c>
      <c r="F28" t="str">
        <f>IF(Raw_Clinical_Data!F28="","Missing Weight","Available")</f>
        <v>Available</v>
      </c>
      <c r="G28" t="str">
        <f>IF(OR(Raw_Clinical_Data!G28&lt;70,Raw_Clinical_Data!G28&gt;250),"Invalid BP","Valid BP")</f>
        <v>Valid BP</v>
      </c>
      <c r="H28" t="str">
        <f>IF(OR(Raw_Clinical_Data!H28&lt;=40,Raw_Clinical_Data!H28&gt;=150),"Invalid BP","Valid BP")</f>
        <v>Valid BP</v>
      </c>
      <c r="I28" t="str">
        <f>IF(OR(Raw_Clinical_Data!I28="Yes",Raw_Clinical_Data!I28="NO"),"Valid","Invalid AE Entry")</f>
        <v>Valid</v>
      </c>
      <c r="J28" t="str">
        <f>IF(OR(Raw_Clinical_Data!J28="5mg",Raw_Clinical_Data!J28="10mg",Raw_Clinical_Data!J28="15mg"),"Valid","Invalid Dose")</f>
        <v>Valid</v>
      </c>
    </row>
    <row r="29" spans="1:10" x14ac:dyDescent="0.3">
      <c r="A29" t="str">
        <v>SUB028</v>
      </c>
      <c r="B29" t="str">
        <v>Unique</v>
      </c>
      <c r="C29" t="str">
        <f ca="1"/>
        <v>Valid</v>
      </c>
      <c r="D29" t="str">
        <f>IF(OR(Raw_Clinical_Data!D29&lt;18,Raw_Clinical_Data!D29&gt;100),"Invalid Age","Valid")</f>
        <v>Valid</v>
      </c>
      <c r="E29" t="str">
        <f>IF(AND(Raw_Clinical_Data!E29&lt;&gt;"Male",Raw_Clinical_Data!E29&lt;&gt;"Female"),"Invalid Gender","Valid")</f>
        <v>Valid</v>
      </c>
      <c r="F29" t="str">
        <f>IF(Raw_Clinical_Data!F29="","Missing Weight","Available")</f>
        <v>Available</v>
      </c>
      <c r="G29" t="str">
        <f>IF(OR(Raw_Clinical_Data!G29&lt;70,Raw_Clinical_Data!G29&gt;250),"Invalid BP","Valid BP")</f>
        <v>Valid BP</v>
      </c>
      <c r="H29" t="str">
        <f>IF(OR(Raw_Clinical_Data!H29&lt;=40,Raw_Clinical_Data!H29&gt;=150),"Invalid BP","Valid BP")</f>
        <v>Valid BP</v>
      </c>
      <c r="I29" t="str">
        <f>IF(OR(Raw_Clinical_Data!I29="Yes",Raw_Clinical_Data!I29="NO"),"Valid","Invalid AE Entry")</f>
        <v>Valid</v>
      </c>
      <c r="J29" t="str">
        <f>IF(OR(Raw_Clinical_Data!J29="5mg",Raw_Clinical_Data!J29="10mg",Raw_Clinical_Data!J29="15mg"),"Valid","Invalid Dose")</f>
        <v>Valid</v>
      </c>
    </row>
    <row r="30" spans="1:10" x14ac:dyDescent="0.3">
      <c r="A30" t="str">
        <v>SUB029</v>
      </c>
      <c r="B30" t="str">
        <v>Unique</v>
      </c>
      <c r="C30" t="str">
        <f ca="1"/>
        <v>Valid</v>
      </c>
      <c r="D30" t="str">
        <f>IF(OR(Raw_Clinical_Data!D30&lt;18,Raw_Clinical_Data!D30&gt;100),"Invalid Age","Valid")</f>
        <v>Valid</v>
      </c>
      <c r="E30" t="str">
        <f>IF(AND(Raw_Clinical_Data!E30&lt;&gt;"Male",Raw_Clinical_Data!E30&lt;&gt;"Female"),"Invalid Gender","Valid")</f>
        <v>Valid</v>
      </c>
      <c r="F30" t="str">
        <f>IF(Raw_Clinical_Data!F30="","Missing Weight","Available")</f>
        <v>Missing Weight</v>
      </c>
      <c r="G30" t="str">
        <f>IF(OR(Raw_Clinical_Data!G30&lt;70,Raw_Clinical_Data!G30&gt;250),"Invalid BP","Valid BP")</f>
        <v>Valid BP</v>
      </c>
      <c r="H30" t="str">
        <f>IF(OR(Raw_Clinical_Data!H30&lt;=40,Raw_Clinical_Data!H30&gt;=150),"Invalid BP","Valid BP")</f>
        <v>Valid BP</v>
      </c>
      <c r="I30" t="str">
        <f>IF(OR(Raw_Clinical_Data!I30="Yes",Raw_Clinical_Data!I30="NO"),"Valid","Invalid AE Entry")</f>
        <v>Valid</v>
      </c>
      <c r="J30" t="str">
        <f>IF(OR(Raw_Clinical_Data!J30="5mg",Raw_Clinical_Data!J30="10mg",Raw_Clinical_Data!J30="15mg"),"Valid","Invalid Dose")</f>
        <v>Valid</v>
      </c>
    </row>
    <row r="31" spans="1:10" x14ac:dyDescent="0.3">
      <c r="A31" t="str">
        <v>SUB030</v>
      </c>
      <c r="B31" t="str">
        <v>Unique</v>
      </c>
      <c r="C31" t="str">
        <f ca="1"/>
        <v>Valid</v>
      </c>
      <c r="D31" t="str">
        <f>IF(OR(Raw_Clinical_Data!D31&lt;18,Raw_Clinical_Data!D31&gt;100),"Invalid Age","Valid")</f>
        <v>Valid</v>
      </c>
      <c r="E31" t="str">
        <f>IF(AND(Raw_Clinical_Data!E31&lt;&gt;"Male",Raw_Clinical_Data!E31&lt;&gt;"Female"),"Invalid Gender","Valid")</f>
        <v>Valid</v>
      </c>
      <c r="F31" t="str">
        <f>IF(Raw_Clinical_Data!F31="","Missing Weight","Available")</f>
        <v>Available</v>
      </c>
      <c r="G31" t="str">
        <f>IF(OR(Raw_Clinical_Data!G31&lt;70,Raw_Clinical_Data!G31&gt;250),"Invalid BP","Valid BP")</f>
        <v>Valid BP</v>
      </c>
      <c r="H31" t="str">
        <f>IF(OR(Raw_Clinical_Data!H31&lt;=40,Raw_Clinical_Data!H31&gt;=150),"Invalid BP","Valid BP")</f>
        <v>Valid BP</v>
      </c>
      <c r="I31" t="str">
        <f>IF(OR(Raw_Clinical_Data!I31="Yes",Raw_Clinical_Data!I31="NO"),"Valid","Invalid AE Entry")</f>
        <v>Valid</v>
      </c>
      <c r="J31" t="str">
        <f>IF(OR(Raw_Clinical_Data!J31="5mg",Raw_Clinical_Data!J31="10mg",Raw_Clinical_Data!J31="15mg"),"Valid","Invalid Dose")</f>
        <v>Valid</v>
      </c>
    </row>
    <row r="32" spans="1:10" x14ac:dyDescent="0.3">
      <c r="A32" t="str">
        <v>SUB031</v>
      </c>
      <c r="B32" t="str">
        <v>Unique</v>
      </c>
      <c r="C32" t="str">
        <f ca="1"/>
        <v>Valid</v>
      </c>
      <c r="D32" t="str">
        <f>IF(OR(Raw_Clinical_Data!D32&lt;18,Raw_Clinical_Data!D32&gt;100),"Invalid Age","Valid")</f>
        <v>Valid</v>
      </c>
      <c r="E32" t="str">
        <f>IF(AND(Raw_Clinical_Data!E32&lt;&gt;"Male",Raw_Clinical_Data!E32&lt;&gt;"Female"),"Invalid Gender","Valid")</f>
        <v>Valid</v>
      </c>
      <c r="F32" t="str">
        <f>IF(Raw_Clinical_Data!F32="","Missing Weight","Available")</f>
        <v>Available</v>
      </c>
      <c r="G32" t="str">
        <f>IF(OR(Raw_Clinical_Data!G32&lt;70,Raw_Clinical_Data!G32&gt;250),"Invalid BP","Valid BP")</f>
        <v>Valid BP</v>
      </c>
      <c r="H32" t="str">
        <f>IF(OR(Raw_Clinical_Data!H32&lt;=40,Raw_Clinical_Data!H32&gt;=150),"Invalid BP","Valid BP")</f>
        <v>Invalid BP</v>
      </c>
      <c r="I32" t="str">
        <f>IF(OR(Raw_Clinical_Data!I32="Yes",Raw_Clinical_Data!I32="NO"),"Valid","Invalid AE Entry")</f>
        <v>Valid</v>
      </c>
      <c r="J32" t="str">
        <f>IF(OR(Raw_Clinical_Data!J32="5mg",Raw_Clinical_Data!J32="10mg",Raw_Clinical_Data!J32="15mg"),"Valid","Invalid Dose")</f>
        <v>Valid</v>
      </c>
    </row>
    <row r="33" spans="1:10" x14ac:dyDescent="0.3">
      <c r="A33" t="str">
        <v>SUB032</v>
      </c>
      <c r="B33" t="str">
        <v>Unique</v>
      </c>
      <c r="C33" t="str">
        <f ca="1"/>
        <v>Valid</v>
      </c>
      <c r="D33" t="str">
        <f>IF(OR(Raw_Clinical_Data!D33&lt;18,Raw_Clinical_Data!D33&gt;100),"Invalid Age","Valid")</f>
        <v>Valid</v>
      </c>
      <c r="E33" t="str">
        <f>IF(AND(Raw_Clinical_Data!E33&lt;&gt;"Male",Raw_Clinical_Data!E33&lt;&gt;"Female"),"Invalid Gender","Valid")</f>
        <v>Valid</v>
      </c>
      <c r="F33" t="str">
        <f>IF(Raw_Clinical_Data!F33="","Missing Weight","Available")</f>
        <v>Available</v>
      </c>
      <c r="G33" t="str">
        <f>IF(OR(Raw_Clinical_Data!G33&lt;70,Raw_Clinical_Data!G33&gt;250),"Invalid BP","Valid BP")</f>
        <v>Valid BP</v>
      </c>
      <c r="H33" t="str">
        <f>IF(OR(Raw_Clinical_Data!H33&lt;=40,Raw_Clinical_Data!H33&gt;=150),"Invalid BP","Valid BP")</f>
        <v>Valid BP</v>
      </c>
      <c r="I33" t="str">
        <f>IF(OR(Raw_Clinical_Data!I33="Yes",Raw_Clinical_Data!I33="NO"),"Valid","Invalid AE Entry")</f>
        <v>Valid</v>
      </c>
      <c r="J33" t="str">
        <f>IF(OR(Raw_Clinical_Data!J33="5mg",Raw_Clinical_Data!J33="10mg",Raw_Clinical_Data!J33="15mg"),"Valid","Invalid Dose")</f>
        <v>Valid</v>
      </c>
    </row>
    <row r="34" spans="1:10" x14ac:dyDescent="0.3">
      <c r="A34" t="str">
        <v>SUB033</v>
      </c>
      <c r="B34" t="str">
        <v>Unique</v>
      </c>
      <c r="C34" t="str">
        <f ca="1"/>
        <v>Valid</v>
      </c>
      <c r="D34" t="str">
        <f>IF(OR(Raw_Clinical_Data!D34&lt;18,Raw_Clinical_Data!D34&gt;100),"Invalid Age","Valid")</f>
        <v>Valid</v>
      </c>
      <c r="E34" t="str">
        <f>IF(AND(Raw_Clinical_Data!E34&lt;&gt;"Male",Raw_Clinical_Data!E34&lt;&gt;"Female"),"Invalid Gender","Valid")</f>
        <v>Valid</v>
      </c>
      <c r="F34" t="str">
        <f>IF(Raw_Clinical_Data!F34="","Missing Weight","Available")</f>
        <v>Available</v>
      </c>
      <c r="G34" t="str">
        <f>IF(OR(Raw_Clinical_Data!G34&lt;70,Raw_Clinical_Data!G34&gt;250),"Invalid BP","Valid BP")</f>
        <v>Valid BP</v>
      </c>
      <c r="H34" t="str">
        <f>IF(OR(Raw_Clinical_Data!H34&lt;=40,Raw_Clinical_Data!H34&gt;=150),"Invalid BP","Valid BP")</f>
        <v>Valid BP</v>
      </c>
      <c r="I34" t="str">
        <f>IF(OR(Raw_Clinical_Data!I34="Yes",Raw_Clinical_Data!I34="NO"),"Valid","Invalid AE Entry")</f>
        <v>Valid</v>
      </c>
      <c r="J34" t="str">
        <f>IF(OR(Raw_Clinical_Data!J34="5mg",Raw_Clinical_Data!J34="10mg",Raw_Clinical_Data!J34="15mg"),"Valid","Invalid Dose")</f>
        <v>Valid</v>
      </c>
    </row>
    <row r="35" spans="1:10" x14ac:dyDescent="0.3">
      <c r="A35" t="str">
        <v>SUB034</v>
      </c>
      <c r="B35" t="str">
        <v>Unique</v>
      </c>
      <c r="C35" t="str">
        <f ca="1"/>
        <v>Valid</v>
      </c>
      <c r="D35" t="str">
        <f>IF(OR(Raw_Clinical_Data!D35&lt;18,Raw_Clinical_Data!D35&gt;100),"Invalid Age","Valid")</f>
        <v>Valid</v>
      </c>
      <c r="E35" t="str">
        <f>IF(AND(Raw_Clinical_Data!E35&lt;&gt;"Male",Raw_Clinical_Data!E35&lt;&gt;"Female"),"Invalid Gender","Valid")</f>
        <v>Valid</v>
      </c>
      <c r="F35" t="str">
        <f>IF(Raw_Clinical_Data!F35="","Missing Weight","Available")</f>
        <v>Available</v>
      </c>
      <c r="G35" t="str">
        <f>IF(OR(Raw_Clinical_Data!G35&lt;70,Raw_Clinical_Data!G35&gt;250),"Invalid BP","Valid BP")</f>
        <v>Invalid BP</v>
      </c>
      <c r="H35" t="str">
        <f>IF(OR(Raw_Clinical_Data!H35&lt;=40,Raw_Clinical_Data!H35&gt;=150),"Invalid BP","Valid BP")</f>
        <v>Valid BP</v>
      </c>
      <c r="I35" t="str">
        <f>IF(OR(Raw_Clinical_Data!I35="Yes",Raw_Clinical_Data!I35="NO"),"Valid","Invalid AE Entry")</f>
        <v>Valid</v>
      </c>
      <c r="J35" t="str">
        <f>IF(OR(Raw_Clinical_Data!J35="5mg",Raw_Clinical_Data!J35="10mg",Raw_Clinical_Data!J35="15mg"),"Valid","Invalid Dose")</f>
        <v>Valid</v>
      </c>
    </row>
    <row r="36" spans="1:10" x14ac:dyDescent="0.3">
      <c r="A36" t="str">
        <v>SUB035</v>
      </c>
      <c r="B36" t="str">
        <v>Unique</v>
      </c>
      <c r="C36" t="str">
        <f ca="1"/>
        <v>Valid</v>
      </c>
      <c r="D36" t="str">
        <f>IF(OR(Raw_Clinical_Data!D36&lt;18,Raw_Clinical_Data!D36&gt;100),"Invalid Age","Valid")</f>
        <v>Valid</v>
      </c>
      <c r="E36" t="str">
        <f>IF(AND(Raw_Clinical_Data!E36&lt;&gt;"Male",Raw_Clinical_Data!E36&lt;&gt;"Female"),"Invalid Gender","Valid")</f>
        <v>Valid</v>
      </c>
      <c r="F36" t="str">
        <f>IF(Raw_Clinical_Data!F36="","Missing Weight","Available")</f>
        <v>Available</v>
      </c>
      <c r="G36" t="str">
        <f>IF(OR(Raw_Clinical_Data!G36&lt;70,Raw_Clinical_Data!G36&gt;250),"Invalid BP","Valid BP")</f>
        <v>Valid BP</v>
      </c>
      <c r="H36" t="str">
        <f>IF(OR(Raw_Clinical_Data!H36&lt;=40,Raw_Clinical_Data!H36&gt;=150),"Invalid BP","Valid BP")</f>
        <v>Valid BP</v>
      </c>
      <c r="I36" t="str">
        <f>IF(OR(Raw_Clinical_Data!I36="Yes",Raw_Clinical_Data!I36="NO"),"Valid","Invalid AE Entry")</f>
        <v>Valid</v>
      </c>
      <c r="J36" t="str">
        <f>IF(OR(Raw_Clinical_Data!J36="5mg",Raw_Clinical_Data!J36="10mg",Raw_Clinical_Data!J36="15mg"),"Valid","Invalid Dose")</f>
        <v>Valid</v>
      </c>
    </row>
    <row r="37" spans="1:10" x14ac:dyDescent="0.3">
      <c r="A37" t="str">
        <v>SUB036</v>
      </c>
      <c r="B37" t="str">
        <v>Unique</v>
      </c>
      <c r="C37" t="str">
        <f ca="1"/>
        <v>Valid</v>
      </c>
      <c r="D37" t="str">
        <f>IF(OR(Raw_Clinical_Data!D37&lt;18,Raw_Clinical_Data!D37&gt;100),"Invalid Age","Valid")</f>
        <v>Valid</v>
      </c>
      <c r="E37" t="str">
        <f>IF(AND(Raw_Clinical_Data!E37&lt;&gt;"Male",Raw_Clinical_Data!E37&lt;&gt;"Female"),"Invalid Gender","Valid")</f>
        <v>Valid</v>
      </c>
      <c r="F37" t="str">
        <f>IF(Raw_Clinical_Data!F37="","Missing Weight","Available")</f>
        <v>Available</v>
      </c>
      <c r="G37" t="str">
        <f>IF(OR(Raw_Clinical_Data!G37&lt;70,Raw_Clinical_Data!G37&gt;250),"Invalid BP","Valid BP")</f>
        <v>Valid BP</v>
      </c>
      <c r="H37" t="str">
        <f>IF(OR(Raw_Clinical_Data!H37&lt;=40,Raw_Clinical_Data!H37&gt;=150),"Invalid BP","Valid BP")</f>
        <v>Valid BP</v>
      </c>
      <c r="I37" t="str">
        <f>IF(OR(Raw_Clinical_Data!I37="Yes",Raw_Clinical_Data!I37="NO"),"Valid","Invalid AE Entry")</f>
        <v>Invalid AE Entry</v>
      </c>
      <c r="J37" t="str">
        <f>IF(OR(Raw_Clinical_Data!J37="5mg",Raw_Clinical_Data!J37="10mg",Raw_Clinical_Data!J37="15mg"),"Valid","Invalid Dose")</f>
        <v>Valid</v>
      </c>
    </row>
    <row r="38" spans="1:10" x14ac:dyDescent="0.3">
      <c r="A38" t="str">
        <v>SUB037</v>
      </c>
      <c r="B38" t="str">
        <v>Unique</v>
      </c>
      <c r="C38" t="str">
        <f ca="1"/>
        <v>Valid</v>
      </c>
      <c r="D38" t="str">
        <f>IF(OR(Raw_Clinical_Data!D38&lt;18,Raw_Clinical_Data!D38&gt;100),"Invalid Age","Valid")</f>
        <v>Valid</v>
      </c>
      <c r="E38" t="str">
        <f>IF(AND(Raw_Clinical_Data!E38&lt;&gt;"Male",Raw_Clinical_Data!E38&lt;&gt;"Female"),"Invalid Gender","Valid")</f>
        <v>Valid</v>
      </c>
      <c r="F38" t="str">
        <f>IF(Raw_Clinical_Data!F38="","Missing Weight","Available")</f>
        <v>Available</v>
      </c>
      <c r="G38" t="str">
        <f>IF(OR(Raw_Clinical_Data!G38&lt;70,Raw_Clinical_Data!G38&gt;250),"Invalid BP","Valid BP")</f>
        <v>Valid BP</v>
      </c>
      <c r="H38" t="str">
        <f>IF(OR(Raw_Clinical_Data!H38&lt;=40,Raw_Clinical_Data!H38&gt;=150),"Invalid BP","Valid BP")</f>
        <v>Valid BP</v>
      </c>
      <c r="I38" t="str">
        <f>IF(OR(Raw_Clinical_Data!I38="Yes",Raw_Clinical_Data!I38="NO"),"Valid","Invalid AE Entry")</f>
        <v>Valid</v>
      </c>
      <c r="J38" t="str">
        <f>IF(OR(Raw_Clinical_Data!J38="5mg",Raw_Clinical_Data!J38="10mg",Raw_Clinical_Data!J38="15mg"),"Valid","Invalid Dose")</f>
        <v>Valid</v>
      </c>
    </row>
    <row r="39" spans="1:10" x14ac:dyDescent="0.3">
      <c r="A39" t="str">
        <v>SUB038</v>
      </c>
      <c r="B39" t="str">
        <v>Unique</v>
      </c>
      <c r="C39" t="str">
        <f ca="1"/>
        <v>Valid</v>
      </c>
      <c r="D39" t="str">
        <f>IF(OR(Raw_Clinical_Data!D39&lt;18,Raw_Clinical_Data!D39&gt;100),"Invalid Age","Valid")</f>
        <v>Valid</v>
      </c>
      <c r="E39" t="str">
        <f>IF(AND(Raw_Clinical_Data!E39&lt;&gt;"Male",Raw_Clinical_Data!E39&lt;&gt;"Female"),"Invalid Gender","Valid")</f>
        <v>Valid</v>
      </c>
      <c r="F39" t="str">
        <f>IF(Raw_Clinical_Data!F39="","Missing Weight","Available")</f>
        <v>Available</v>
      </c>
      <c r="G39" t="str">
        <f>IF(OR(Raw_Clinical_Data!G39&lt;70,Raw_Clinical_Data!G39&gt;250),"Invalid BP","Valid BP")</f>
        <v>Valid BP</v>
      </c>
      <c r="H39" t="str">
        <f>IF(OR(Raw_Clinical_Data!H39&lt;=40,Raw_Clinical_Data!H39&gt;=150),"Invalid BP","Valid BP")</f>
        <v>Valid BP</v>
      </c>
      <c r="I39" t="str">
        <f>IF(OR(Raw_Clinical_Data!I39="Yes",Raw_Clinical_Data!I39="NO"),"Valid","Invalid AE Entry")</f>
        <v>Valid</v>
      </c>
      <c r="J39" t="str">
        <f>IF(OR(Raw_Clinical_Data!J39="5mg",Raw_Clinical_Data!J39="10mg",Raw_Clinical_Data!J39="15mg"),"Valid","Invalid Dose")</f>
        <v>Valid</v>
      </c>
    </row>
    <row r="40" spans="1:10" x14ac:dyDescent="0.3">
      <c r="A40" t="str">
        <v>SUB039</v>
      </c>
      <c r="B40" t="str">
        <v>Unique</v>
      </c>
      <c r="C40" t="str">
        <f ca="1"/>
        <v>Valid</v>
      </c>
      <c r="D40" t="str">
        <f>IF(OR(Raw_Clinical_Data!D40&lt;18,Raw_Clinical_Data!D40&gt;100),"Invalid Age","Valid")</f>
        <v>Valid</v>
      </c>
      <c r="E40" t="str">
        <f>IF(AND(Raw_Clinical_Data!E40&lt;&gt;"Male",Raw_Clinical_Data!E40&lt;&gt;"Female"),"Invalid Gender","Valid")</f>
        <v>Valid</v>
      </c>
      <c r="F40" t="str">
        <f>IF(Raw_Clinical_Data!F40="","Missing Weight","Available")</f>
        <v>Available</v>
      </c>
      <c r="G40" t="str">
        <f>IF(OR(Raw_Clinical_Data!G40&lt;70,Raw_Clinical_Data!G40&gt;250),"Invalid BP","Valid BP")</f>
        <v>Valid BP</v>
      </c>
      <c r="H40" t="str">
        <f>IF(OR(Raw_Clinical_Data!H40&lt;=40,Raw_Clinical_Data!H40&gt;=150),"Invalid BP","Valid BP")</f>
        <v>Invalid BP</v>
      </c>
      <c r="I40" t="str">
        <f>IF(OR(Raw_Clinical_Data!I40="Yes",Raw_Clinical_Data!I40="NO"),"Valid","Invalid AE Entry")</f>
        <v>Valid</v>
      </c>
      <c r="J40" t="str">
        <f>IF(OR(Raw_Clinical_Data!J40="5mg",Raw_Clinical_Data!J40="10mg",Raw_Clinical_Data!J40="15mg"),"Valid","Invalid Dose")</f>
        <v>Valid</v>
      </c>
    </row>
    <row r="41" spans="1:10" x14ac:dyDescent="0.3">
      <c r="A41" t="str">
        <v>SUB040</v>
      </c>
      <c r="B41" t="str">
        <v>Unique</v>
      </c>
      <c r="C41" t="str">
        <f ca="1"/>
        <v>Valid</v>
      </c>
      <c r="D41" t="str">
        <f>IF(OR(Raw_Clinical_Data!D41&lt;18,Raw_Clinical_Data!D41&gt;100),"Invalid Age","Valid")</f>
        <v>Valid</v>
      </c>
      <c r="E41" t="str">
        <f>IF(AND(Raw_Clinical_Data!E41&lt;&gt;"Male",Raw_Clinical_Data!E41&lt;&gt;"Female"),"Invalid Gender","Valid")</f>
        <v>Valid</v>
      </c>
      <c r="F41" t="str">
        <f>IF(Raw_Clinical_Data!F41="","Missing Weight","Available")</f>
        <v>Available</v>
      </c>
      <c r="G41" t="str">
        <f>IF(OR(Raw_Clinical_Data!G41&lt;70,Raw_Clinical_Data!G41&gt;250),"Invalid BP","Valid BP")</f>
        <v>Valid BP</v>
      </c>
      <c r="H41" t="str">
        <f>IF(OR(Raw_Clinical_Data!H41&lt;=40,Raw_Clinical_Data!H41&gt;=150),"Invalid BP","Valid BP")</f>
        <v>Valid BP</v>
      </c>
      <c r="I41" t="str">
        <f>IF(OR(Raw_Clinical_Data!I41="Yes",Raw_Clinical_Data!I41="NO"),"Valid","Invalid AE Entry")</f>
        <v>Valid</v>
      </c>
      <c r="J41" t="str">
        <f>IF(OR(Raw_Clinical_Data!J41="5mg",Raw_Clinical_Data!J41="10mg",Raw_Clinical_Data!J41="15mg"),"Valid","Invalid Dose")</f>
        <v>Valid</v>
      </c>
    </row>
    <row r="42" spans="1:10" x14ac:dyDescent="0.3">
      <c r="A42" t="str">
        <v>SUB041</v>
      </c>
      <c r="B42" t="str">
        <v>Unique</v>
      </c>
      <c r="C42" t="str">
        <f ca="1"/>
        <v>Valid</v>
      </c>
      <c r="D42" t="str">
        <f>IF(OR(Raw_Clinical_Data!D42&lt;18,Raw_Clinical_Data!D42&gt;100),"Invalid Age","Valid")</f>
        <v>Valid</v>
      </c>
      <c r="E42" t="str">
        <f>IF(AND(Raw_Clinical_Data!E42&lt;&gt;"Male",Raw_Clinical_Data!E42&lt;&gt;"Female"),"Invalid Gender","Valid")</f>
        <v>Valid</v>
      </c>
      <c r="F42" t="str">
        <f>IF(Raw_Clinical_Data!F42="","Missing Weight","Available")</f>
        <v>Available</v>
      </c>
      <c r="G42" t="str">
        <f>IF(OR(Raw_Clinical_Data!G42&lt;70,Raw_Clinical_Data!G42&gt;250),"Invalid BP","Valid BP")</f>
        <v>Valid BP</v>
      </c>
      <c r="H42" t="str">
        <f>IF(OR(Raw_Clinical_Data!H42&lt;=40,Raw_Clinical_Data!H42&gt;=150),"Invalid BP","Valid BP")</f>
        <v>Valid BP</v>
      </c>
      <c r="I42" t="str">
        <f>IF(OR(Raw_Clinical_Data!I42="Yes",Raw_Clinical_Data!I42="NO"),"Valid","Invalid AE Entry")</f>
        <v>Valid</v>
      </c>
      <c r="J42" t="str">
        <f>IF(OR(Raw_Clinical_Data!J42="5mg",Raw_Clinical_Data!J42="10mg",Raw_Clinical_Data!J42="15mg"),"Valid","Invalid Dose")</f>
        <v>Valid</v>
      </c>
    </row>
    <row r="43" spans="1:10" x14ac:dyDescent="0.3">
      <c r="A43" t="str">
        <v>SUB042</v>
      </c>
      <c r="B43" t="str">
        <v>Unique</v>
      </c>
      <c r="C43" t="str">
        <f ca="1"/>
        <v>Valid</v>
      </c>
      <c r="D43" t="str">
        <f>IF(OR(Raw_Clinical_Data!D43&lt;18,Raw_Clinical_Data!D43&gt;100),"Invalid Age","Valid")</f>
        <v>Valid</v>
      </c>
      <c r="E43" t="str">
        <f>IF(AND(Raw_Clinical_Data!E43&lt;&gt;"Male",Raw_Clinical_Data!E43&lt;&gt;"Female"),"Invalid Gender","Valid")</f>
        <v>Valid</v>
      </c>
      <c r="F43" t="str">
        <f>IF(Raw_Clinical_Data!F43="","Missing Weight","Available")</f>
        <v>Available</v>
      </c>
      <c r="G43" t="str">
        <f>IF(OR(Raw_Clinical_Data!G43&lt;70,Raw_Clinical_Data!G43&gt;250),"Invalid BP","Valid BP")</f>
        <v>Valid BP</v>
      </c>
      <c r="H43" t="str">
        <f>IF(OR(Raw_Clinical_Data!H43&lt;=40,Raw_Clinical_Data!H43&gt;=150),"Invalid BP","Valid BP")</f>
        <v>Valid BP</v>
      </c>
      <c r="I43" t="str">
        <f>IF(OR(Raw_Clinical_Data!I43="Yes",Raw_Clinical_Data!I43="NO"),"Valid","Invalid AE Entry")</f>
        <v>Valid</v>
      </c>
      <c r="J43" t="str">
        <f>IF(OR(Raw_Clinical_Data!J43="5mg",Raw_Clinical_Data!J43="10mg",Raw_Clinical_Data!J43="15mg"),"Valid","Invalid Dose")</f>
        <v>Valid</v>
      </c>
    </row>
    <row r="44" spans="1:10" x14ac:dyDescent="0.3">
      <c r="A44" t="str">
        <v>SUB043</v>
      </c>
      <c r="B44" t="str">
        <v>Unique</v>
      </c>
      <c r="C44" t="str">
        <f ca="1"/>
        <v>Valid</v>
      </c>
      <c r="D44" t="str">
        <f>IF(OR(Raw_Clinical_Data!D44&lt;18,Raw_Clinical_Data!D44&gt;100),"Invalid Age","Valid")</f>
        <v>Valid</v>
      </c>
      <c r="E44" t="str">
        <f>IF(AND(Raw_Clinical_Data!E44&lt;&gt;"Male",Raw_Clinical_Data!E44&lt;&gt;"Female"),"Invalid Gender","Valid")</f>
        <v>Valid</v>
      </c>
      <c r="F44" t="str">
        <f>IF(Raw_Clinical_Data!F44="","Missing Weight","Available")</f>
        <v>Available</v>
      </c>
      <c r="G44" t="str">
        <f>IF(OR(Raw_Clinical_Data!G44&lt;70,Raw_Clinical_Data!G44&gt;250),"Invalid BP","Valid BP")</f>
        <v>Valid BP</v>
      </c>
      <c r="H44" t="str">
        <f>IF(OR(Raw_Clinical_Data!H44&lt;=40,Raw_Clinical_Data!H44&gt;=150),"Invalid BP","Valid BP")</f>
        <v>Valid BP</v>
      </c>
      <c r="I44" t="str">
        <f>IF(OR(Raw_Clinical_Data!I44="Yes",Raw_Clinical_Data!I44="NO"),"Valid","Invalid AE Entry")</f>
        <v>Valid</v>
      </c>
      <c r="J44" t="str">
        <f>IF(OR(Raw_Clinical_Data!J44="5mg",Raw_Clinical_Data!J44="10mg",Raw_Clinical_Data!J44="15mg"),"Valid","Invalid Dose")</f>
        <v>Valid</v>
      </c>
    </row>
    <row r="45" spans="1:10" x14ac:dyDescent="0.3">
      <c r="A45" t="str">
        <v>SUB044</v>
      </c>
      <c r="B45" t="str">
        <v>Unique</v>
      </c>
      <c r="C45" t="str">
        <f ca="1"/>
        <v>Valid</v>
      </c>
      <c r="D45" t="str">
        <f>IF(OR(Raw_Clinical_Data!D45&lt;18,Raw_Clinical_Data!D45&gt;100),"Invalid Age","Valid")</f>
        <v>Valid</v>
      </c>
      <c r="E45" t="str">
        <f>IF(AND(Raw_Clinical_Data!E45&lt;&gt;"Male",Raw_Clinical_Data!E45&lt;&gt;"Female"),"Invalid Gender","Valid")</f>
        <v>Valid</v>
      </c>
      <c r="F45" t="str">
        <f>IF(Raw_Clinical_Data!F45="","Missing Weight","Available")</f>
        <v>Available</v>
      </c>
      <c r="G45" t="str">
        <f>IF(OR(Raw_Clinical_Data!G45&lt;70,Raw_Clinical_Data!G45&gt;250),"Invalid BP","Valid BP")</f>
        <v>Valid BP</v>
      </c>
      <c r="H45" t="str">
        <f>IF(OR(Raw_Clinical_Data!H45&lt;=40,Raw_Clinical_Data!H45&gt;=150),"Invalid BP","Valid BP")</f>
        <v>Valid BP</v>
      </c>
      <c r="I45" t="str">
        <f>IF(OR(Raw_Clinical_Data!I45="Yes",Raw_Clinical_Data!I45="NO"),"Valid","Invalid AE Entry")</f>
        <v>Valid</v>
      </c>
      <c r="J45" t="str">
        <f>IF(OR(Raw_Clinical_Data!J45="5mg",Raw_Clinical_Data!J45="10mg",Raw_Clinical_Data!J45="15mg"),"Valid","Invalid Dose")</f>
        <v>Valid</v>
      </c>
    </row>
    <row r="46" spans="1:10" x14ac:dyDescent="0.3">
      <c r="A46" t="str">
        <v>SUB045</v>
      </c>
      <c r="B46" t="str">
        <v>Unique</v>
      </c>
      <c r="C46" t="str">
        <f ca="1"/>
        <v>Valid</v>
      </c>
      <c r="D46" t="str">
        <f>IF(OR(Raw_Clinical_Data!D46&lt;18,Raw_Clinical_Data!D46&gt;100),"Invalid Age","Valid")</f>
        <v>Valid</v>
      </c>
      <c r="E46" t="str">
        <f>IF(AND(Raw_Clinical_Data!E46&lt;&gt;"Male",Raw_Clinical_Data!E46&lt;&gt;"Female"),"Invalid Gender","Valid")</f>
        <v>Valid</v>
      </c>
      <c r="F46" t="str">
        <f>IF(Raw_Clinical_Data!F46="","Missing Weight","Available")</f>
        <v>Available</v>
      </c>
      <c r="G46" t="str">
        <f>IF(OR(Raw_Clinical_Data!G46&lt;70,Raw_Clinical_Data!G46&gt;250),"Invalid BP","Valid BP")</f>
        <v>Valid BP</v>
      </c>
      <c r="H46" t="str">
        <f>IF(OR(Raw_Clinical_Data!H46&lt;=40,Raw_Clinical_Data!H46&gt;=150),"Invalid BP","Valid BP")</f>
        <v>Valid BP</v>
      </c>
      <c r="I46" t="str">
        <f>IF(OR(Raw_Clinical_Data!I46="Yes",Raw_Clinical_Data!I46="NO"),"Valid","Invalid AE Entry")</f>
        <v>Valid</v>
      </c>
      <c r="J46" t="str">
        <f>IF(OR(Raw_Clinical_Data!J46="5mg",Raw_Clinical_Data!J46="10mg",Raw_Clinical_Data!J46="15mg"),"Valid","Invalid Dose")</f>
        <v>Valid</v>
      </c>
    </row>
    <row r="47" spans="1:10" x14ac:dyDescent="0.3">
      <c r="A47" t="str">
        <v>SUB046</v>
      </c>
      <c r="B47" t="str">
        <v>Unique</v>
      </c>
      <c r="C47" t="str">
        <f ca="1"/>
        <v>Valid</v>
      </c>
      <c r="D47" t="str">
        <f>IF(OR(Raw_Clinical_Data!D47&lt;18,Raw_Clinical_Data!D47&gt;100),"Invalid Age","Valid")</f>
        <v>Valid</v>
      </c>
      <c r="E47" t="str">
        <f>IF(AND(Raw_Clinical_Data!E47&lt;&gt;"Male",Raw_Clinical_Data!E47&lt;&gt;"Female"),"Invalid Gender","Valid")</f>
        <v>Valid</v>
      </c>
      <c r="F47" t="str">
        <f>IF(Raw_Clinical_Data!F47="","Missing Weight","Available")</f>
        <v>Available</v>
      </c>
      <c r="G47" t="str">
        <f>IF(OR(Raw_Clinical_Data!G47&lt;70,Raw_Clinical_Data!G47&gt;250),"Invalid BP","Valid BP")</f>
        <v>Valid BP</v>
      </c>
      <c r="H47" t="str">
        <f>IF(OR(Raw_Clinical_Data!H47&lt;=40,Raw_Clinical_Data!H47&gt;=150),"Invalid BP","Valid BP")</f>
        <v>Valid BP</v>
      </c>
      <c r="I47" t="str">
        <f>IF(OR(Raw_Clinical_Data!I47="Yes",Raw_Clinical_Data!I47="NO"),"Valid","Invalid AE Entry")</f>
        <v>Valid</v>
      </c>
      <c r="J47" t="str">
        <f>IF(OR(Raw_Clinical_Data!J47="5mg",Raw_Clinical_Data!J47="10mg",Raw_Clinical_Data!J47="15mg"),"Valid","Invalid Dose")</f>
        <v>Valid</v>
      </c>
    </row>
    <row r="48" spans="1:10" x14ac:dyDescent="0.3">
      <c r="A48" t="str">
        <v>SUB047</v>
      </c>
      <c r="B48" t="str">
        <v>Unique</v>
      </c>
      <c r="C48" t="str">
        <f ca="1"/>
        <v>Valid</v>
      </c>
      <c r="D48" t="str">
        <f>IF(OR(Raw_Clinical_Data!D48&lt;18,Raw_Clinical_Data!D48&gt;100),"Invalid Age","Valid")</f>
        <v>Valid</v>
      </c>
      <c r="E48" t="str">
        <f>IF(AND(Raw_Clinical_Data!E48&lt;&gt;"Male",Raw_Clinical_Data!E48&lt;&gt;"Female"),"Invalid Gender","Valid")</f>
        <v>Valid</v>
      </c>
      <c r="F48" t="str">
        <f>IF(Raw_Clinical_Data!F48="","Missing Weight","Available")</f>
        <v>Available</v>
      </c>
      <c r="G48" t="str">
        <f>IF(OR(Raw_Clinical_Data!G48&lt;70,Raw_Clinical_Data!G48&gt;250),"Invalid BP","Valid BP")</f>
        <v>Invalid BP</v>
      </c>
      <c r="H48" t="str">
        <f>IF(OR(Raw_Clinical_Data!H48&lt;=40,Raw_Clinical_Data!H48&gt;=150),"Invalid BP","Valid BP")</f>
        <v>Valid BP</v>
      </c>
      <c r="I48" t="str">
        <f>IF(OR(Raw_Clinical_Data!I48="Yes",Raw_Clinical_Data!I48="NO"),"Valid","Invalid AE Entry")</f>
        <v>Valid</v>
      </c>
      <c r="J48" t="str">
        <f>IF(OR(Raw_Clinical_Data!J48="5mg",Raw_Clinical_Data!J48="10mg",Raw_Clinical_Data!J48="15mg"),"Valid","Invalid Dose")</f>
        <v>Valid</v>
      </c>
    </row>
    <row r="49" spans="1:10" x14ac:dyDescent="0.3">
      <c r="A49" t="str">
        <v>SUB048</v>
      </c>
      <c r="B49" t="str">
        <v>Unique</v>
      </c>
      <c r="C49" t="str">
        <f ca="1"/>
        <v>Valid</v>
      </c>
      <c r="D49" t="str">
        <f>IF(OR(Raw_Clinical_Data!D49&lt;18,Raw_Clinical_Data!D49&gt;100),"Invalid Age","Valid")</f>
        <v>Valid</v>
      </c>
      <c r="E49" t="str">
        <f>IF(AND(Raw_Clinical_Data!E49&lt;&gt;"Male",Raw_Clinical_Data!E49&lt;&gt;"Female"),"Invalid Gender","Valid")</f>
        <v>Valid</v>
      </c>
      <c r="F49" t="str">
        <f>IF(Raw_Clinical_Data!F49="","Missing Weight","Available")</f>
        <v>Available</v>
      </c>
      <c r="G49" t="str">
        <f>IF(OR(Raw_Clinical_Data!G49&lt;70,Raw_Clinical_Data!G49&gt;250),"Invalid BP","Valid BP")</f>
        <v>Valid BP</v>
      </c>
      <c r="H49" t="str">
        <f>IF(OR(Raw_Clinical_Data!H49&lt;=40,Raw_Clinical_Data!H49&gt;=150),"Invalid BP","Valid BP")</f>
        <v>Valid BP</v>
      </c>
      <c r="I49" t="str">
        <f>IF(OR(Raw_Clinical_Data!I49="Yes",Raw_Clinical_Data!I49="NO"),"Valid","Invalid AE Entry")</f>
        <v>Valid</v>
      </c>
      <c r="J49" t="str">
        <f>IF(OR(Raw_Clinical_Data!J49="5mg",Raw_Clinical_Data!J49="10mg",Raw_Clinical_Data!J49="15mg"),"Valid","Invalid Dose")</f>
        <v>Invalid Dose</v>
      </c>
    </row>
    <row r="50" spans="1:10" x14ac:dyDescent="0.3">
      <c r="A50" t="str">
        <v>SUB049</v>
      </c>
      <c r="B50" t="str">
        <v>Unique</v>
      </c>
      <c r="C50" t="str">
        <f ca="1"/>
        <v>Valid</v>
      </c>
      <c r="D50" t="str">
        <f>IF(OR(Raw_Clinical_Data!D50&lt;18,Raw_Clinical_Data!D50&gt;100),"Invalid Age","Valid")</f>
        <v>Valid</v>
      </c>
      <c r="E50" t="str">
        <f>IF(AND(Raw_Clinical_Data!E50&lt;&gt;"Male",Raw_Clinical_Data!E50&lt;&gt;"Female"),"Invalid Gender","Valid")</f>
        <v>Valid</v>
      </c>
      <c r="F50" t="str">
        <f>IF(Raw_Clinical_Data!F50="","Missing Weight","Available")</f>
        <v>Available</v>
      </c>
      <c r="G50" t="str">
        <f>IF(OR(Raw_Clinical_Data!G50&lt;70,Raw_Clinical_Data!G50&gt;250),"Invalid BP","Valid BP")</f>
        <v>Valid BP</v>
      </c>
      <c r="H50" t="str">
        <f>IF(OR(Raw_Clinical_Data!H50&lt;=40,Raw_Clinical_Data!H50&gt;=150),"Invalid BP","Valid BP")</f>
        <v>Valid BP</v>
      </c>
      <c r="I50" t="str">
        <f>IF(OR(Raw_Clinical_Data!I50="Yes",Raw_Clinical_Data!I50="NO"),"Valid","Invalid AE Entry")</f>
        <v>Valid</v>
      </c>
      <c r="J50" t="str">
        <f>IF(OR(Raw_Clinical_Data!J50="5mg",Raw_Clinical_Data!J50="10mg",Raw_Clinical_Data!J50="15mg"),"Valid","Invalid Dose")</f>
        <v>Valid</v>
      </c>
    </row>
    <row r="51" spans="1:10" x14ac:dyDescent="0.3">
      <c r="A51" t="str">
        <v>SUB050</v>
      </c>
      <c r="B51" t="str">
        <v>Unique</v>
      </c>
      <c r="C51" t="str">
        <f ca="1"/>
        <v>Valid</v>
      </c>
      <c r="D51" t="str">
        <f>IF(OR(Raw_Clinical_Data!D51&lt;18,Raw_Clinical_Data!D51&gt;100),"Invalid Age","Valid")</f>
        <v>Valid</v>
      </c>
      <c r="E51" t="str">
        <f>IF(AND(Raw_Clinical_Data!E51&lt;&gt;"Male",Raw_Clinical_Data!E51&lt;&gt;"Female"),"Invalid Gender","Valid")</f>
        <v>Valid</v>
      </c>
      <c r="F51" t="str">
        <f>IF(Raw_Clinical_Data!F51="","Missing Weight","Available")</f>
        <v>Available</v>
      </c>
      <c r="G51" t="str">
        <f>IF(OR(Raw_Clinical_Data!G51&lt;70,Raw_Clinical_Data!G51&gt;250),"Invalid BP","Valid BP")</f>
        <v>Valid BP</v>
      </c>
      <c r="H51" t="str">
        <f>IF(OR(Raw_Clinical_Data!H51&lt;=40,Raw_Clinical_Data!H51&gt;=150),"Invalid BP","Valid BP")</f>
        <v>Valid BP</v>
      </c>
      <c r="I51" t="str">
        <f>IF(OR(Raw_Clinical_Data!I51="Yes",Raw_Clinical_Data!I51="NO"),"Valid","Invalid AE Entry")</f>
        <v>Valid</v>
      </c>
      <c r="J51" t="str">
        <f>IF(OR(Raw_Clinical_Data!J51="5mg",Raw_Clinical_Data!J51="10mg",Raw_Clinical_Data!J51="15mg"),"Valid","Invalid Dose")</f>
        <v>Valid</v>
      </c>
    </row>
  </sheetData>
  <autoFilter ref="A1:H51" xr:uid="{FEE4AE48-D034-4A9F-BECA-CB08B7D38074}"/>
  <conditionalFormatting sqref="B1:J51">
    <cfRule type="containsText" dxfId="12" priority="8" operator="containsText" text="Duplicate">
      <formula>NOT(ISERROR(SEARCH("Duplicate",B1)))</formula>
    </cfRule>
    <cfRule type="containsText" dxfId="11" priority="9" operator="containsText" text="Invalid">
      <formula>NOT(ISERROR(SEARCH("Invalid",B1)))</formula>
    </cfRule>
  </conditionalFormatting>
  <conditionalFormatting sqref="B2:J51">
    <cfRule type="containsText" dxfId="10" priority="1" operator="containsText" text="available">
      <formula>NOT(ISERROR(SEARCH("available",B2)))</formula>
    </cfRule>
    <cfRule type="cellIs" dxfId="9" priority="2" operator="equal">
      <formula>"Valid BP"</formula>
    </cfRule>
    <cfRule type="containsText" dxfId="8" priority="3" operator="containsText" text="Uni">
      <formula>NOT(ISERROR(SEARCH("Uni",B2)))</formula>
    </cfRule>
    <cfRule type="cellIs" dxfId="7" priority="4" operator="equal">
      <formula>"Valid"</formula>
    </cfRule>
    <cfRule type="containsText" dxfId="6" priority="5" operator="containsText" text="Invalid">
      <formula>NOT(ISERROR(SEARCH("Invalid",B2)))</formula>
    </cfRule>
    <cfRule type="containsText" dxfId="5" priority="6" operator="containsText" text="Future">
      <formula>NOT(ISERROR(SEARCH("Future",B2)))</formula>
    </cfRule>
    <cfRule type="containsText" dxfId="4" priority="7" operator="containsText" text="missing">
      <formula>NOT(ISERROR(SEARCH("missing",B2)))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7B82-B8EE-4BA1-B4B6-DB3D9FAD521E}">
  <dimension ref="A1:G14"/>
  <sheetViews>
    <sheetView workbookViewId="0">
      <selection activeCell="C5" sqref="C5"/>
    </sheetView>
  </sheetViews>
  <sheetFormatPr defaultRowHeight="14.4" x14ac:dyDescent="0.3"/>
  <cols>
    <col min="1" max="1" width="21.88671875" customWidth="1"/>
    <col min="2" max="3" width="18.77734375" customWidth="1"/>
    <col min="4" max="4" width="22.6640625" customWidth="1"/>
    <col min="5" max="5" width="30.33203125" customWidth="1"/>
    <col min="6" max="6" width="19.5546875" customWidth="1"/>
    <col min="7" max="7" width="28.109375" customWidth="1"/>
  </cols>
  <sheetData>
    <row r="1" spans="1:7" x14ac:dyDescent="0.3">
      <c r="A1" s="4" t="s">
        <v>82</v>
      </c>
      <c r="B1" s="4" t="s">
        <v>0</v>
      </c>
      <c r="C1" s="4" t="s">
        <v>1</v>
      </c>
      <c r="D1" s="4" t="s">
        <v>83</v>
      </c>
      <c r="E1" s="4" t="s">
        <v>84</v>
      </c>
      <c r="F1" s="4" t="s">
        <v>85</v>
      </c>
      <c r="G1" s="4" t="s">
        <v>86</v>
      </c>
    </row>
    <row r="2" spans="1:7" x14ac:dyDescent="0.3">
      <c r="A2" t="s">
        <v>87</v>
      </c>
      <c r="B2" t="s">
        <v>24</v>
      </c>
      <c r="C2" t="s">
        <v>136</v>
      </c>
      <c r="D2" t="s">
        <v>94</v>
      </c>
      <c r="E2" t="s">
        <v>95</v>
      </c>
      <c r="F2" t="s">
        <v>96</v>
      </c>
      <c r="G2" t="s">
        <v>97</v>
      </c>
    </row>
    <row r="3" spans="1:7" x14ac:dyDescent="0.3">
      <c r="A3" t="s">
        <v>88</v>
      </c>
      <c r="B3" t="s">
        <v>38</v>
      </c>
      <c r="C3" t="str">
        <f>_xlfn.XLOOKUP(B3,Raw_Clinical_Data!A:A,Raw_Clinical_Data!B:B)</f>
        <v>SITE02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3">
      <c r="A4" t="s">
        <v>89</v>
      </c>
      <c r="B4" t="s">
        <v>33</v>
      </c>
      <c r="C4" t="str">
        <f>_xlfn.XLOOKUP(B4,Raw_Clinical_Data!A:A,Raw_Clinical_Data!B:B)</f>
        <v>SITE04</v>
      </c>
      <c r="D4" t="s">
        <v>102</v>
      </c>
      <c r="E4" t="s">
        <v>103</v>
      </c>
      <c r="F4" t="s">
        <v>96</v>
      </c>
      <c r="G4" t="s">
        <v>104</v>
      </c>
    </row>
    <row r="5" spans="1:7" x14ac:dyDescent="0.3">
      <c r="A5" t="s">
        <v>90</v>
      </c>
      <c r="B5" t="s">
        <v>43</v>
      </c>
      <c r="C5" t="str">
        <f>_xlfn.XLOOKUP(B5,Raw_Clinical_Data!A:A,Raw_Clinical_Data!B:B)</f>
        <v>SITE03</v>
      </c>
      <c r="D5" t="s">
        <v>105</v>
      </c>
      <c r="E5" t="s">
        <v>106</v>
      </c>
      <c r="F5" t="s">
        <v>96</v>
      </c>
      <c r="G5" t="s">
        <v>107</v>
      </c>
    </row>
    <row r="6" spans="1:7" x14ac:dyDescent="0.3">
      <c r="A6" t="s">
        <v>91</v>
      </c>
      <c r="B6" t="s">
        <v>49</v>
      </c>
      <c r="C6" t="str">
        <f>_xlfn.XLOOKUP(B6,Raw_Clinical_Data!A:A,Raw_Clinical_Data!B:B)</f>
        <v>SITE02</v>
      </c>
      <c r="D6" t="s">
        <v>108</v>
      </c>
      <c r="E6" t="s">
        <v>109</v>
      </c>
      <c r="F6" t="s">
        <v>110</v>
      </c>
      <c r="G6" t="s">
        <v>111</v>
      </c>
    </row>
    <row r="7" spans="1:7" x14ac:dyDescent="0.3">
      <c r="A7" t="s">
        <v>92</v>
      </c>
      <c r="B7" t="s">
        <v>26</v>
      </c>
      <c r="C7" t="str">
        <f>_xlfn.XLOOKUP(B7,Raw_Clinical_Data!A:A,Raw_Clinical_Data!B:B)</f>
        <v>SITE04</v>
      </c>
      <c r="D7" t="s">
        <v>117</v>
      </c>
      <c r="E7" t="s">
        <v>118</v>
      </c>
      <c r="F7" t="s">
        <v>96</v>
      </c>
      <c r="G7" t="s">
        <v>121</v>
      </c>
    </row>
    <row r="8" spans="1:7" x14ac:dyDescent="0.3">
      <c r="A8" t="s">
        <v>93</v>
      </c>
      <c r="B8" t="s">
        <v>54</v>
      </c>
      <c r="C8" t="str">
        <f>_xlfn.XLOOKUP(B8,Raw_Clinical_Data!A:A,Raw_Clinical_Data!B:B)</f>
        <v>SITE03</v>
      </c>
      <c r="D8" t="s">
        <v>117</v>
      </c>
      <c r="E8" t="s">
        <v>119</v>
      </c>
      <c r="F8" t="s">
        <v>96</v>
      </c>
      <c r="G8" t="s">
        <v>121</v>
      </c>
    </row>
    <row r="9" spans="1:7" x14ac:dyDescent="0.3">
      <c r="A9" t="s">
        <v>112</v>
      </c>
      <c r="B9" t="s">
        <v>67</v>
      </c>
      <c r="C9" t="str">
        <f>_xlfn.XLOOKUP(B9,Raw_Clinical_Data!A:A,Raw_Clinical_Data!B:B)</f>
        <v>SITE01</v>
      </c>
      <c r="D9" t="s">
        <v>117</v>
      </c>
      <c r="E9" t="s">
        <v>120</v>
      </c>
      <c r="F9" t="s">
        <v>96</v>
      </c>
      <c r="G9" t="s">
        <v>121</v>
      </c>
    </row>
    <row r="10" spans="1:7" x14ac:dyDescent="0.3">
      <c r="A10" t="s">
        <v>113</v>
      </c>
      <c r="B10" t="s">
        <v>51</v>
      </c>
      <c r="C10" t="str">
        <f>_xlfn.XLOOKUP(B10,Raw_Clinical_Data!A:A,Raw_Clinical_Data!B:B)</f>
        <v>SITE01</v>
      </c>
      <c r="D10" t="s">
        <v>122</v>
      </c>
      <c r="E10" t="s">
        <v>123</v>
      </c>
      <c r="F10" t="s">
        <v>110</v>
      </c>
      <c r="G10" t="s">
        <v>125</v>
      </c>
    </row>
    <row r="11" spans="1:7" x14ac:dyDescent="0.3">
      <c r="A11" t="s">
        <v>114</v>
      </c>
      <c r="B11" t="s">
        <v>59</v>
      </c>
      <c r="C11" t="str">
        <f>_xlfn.XLOOKUP(B11,Raw_Clinical_Data!A:A,Raw_Clinical_Data!B:B)</f>
        <v>SITE04</v>
      </c>
      <c r="D11" t="s">
        <v>122</v>
      </c>
      <c r="E11" t="s">
        <v>124</v>
      </c>
      <c r="F11" t="s">
        <v>96</v>
      </c>
      <c r="G11" t="s">
        <v>121</v>
      </c>
    </row>
    <row r="12" spans="1:7" x14ac:dyDescent="0.3">
      <c r="A12" t="s">
        <v>115</v>
      </c>
      <c r="B12" t="s">
        <v>38</v>
      </c>
      <c r="C12" t="str">
        <f>_xlfn.XLOOKUP(B12,Raw_Clinical_Data!A:A,Raw_Clinical_Data!B:B)</f>
        <v>SITE02</v>
      </c>
      <c r="D12" t="s">
        <v>126</v>
      </c>
      <c r="E12" t="s">
        <v>127</v>
      </c>
      <c r="F12" t="s">
        <v>96</v>
      </c>
      <c r="G12" t="s">
        <v>128</v>
      </c>
    </row>
    <row r="13" spans="1:7" x14ac:dyDescent="0.3">
      <c r="A13" t="s">
        <v>116</v>
      </c>
      <c r="B13" t="s">
        <v>56</v>
      </c>
      <c r="C13" t="str">
        <f>_xlfn.XLOOKUP(B13,Raw_Clinical_Data!A:A,Raw_Clinical_Data!B:B)</f>
        <v>SITE02</v>
      </c>
      <c r="D13" t="s">
        <v>126</v>
      </c>
      <c r="E13" t="s">
        <v>127</v>
      </c>
      <c r="F13" t="s">
        <v>96</v>
      </c>
      <c r="G13" t="s">
        <v>128</v>
      </c>
    </row>
    <row r="14" spans="1:7" x14ac:dyDescent="0.3">
      <c r="A14" t="s">
        <v>129</v>
      </c>
      <c r="B14" t="s">
        <v>68</v>
      </c>
      <c r="C14" t="str">
        <f>_xlfn.XLOOKUP(B14,Raw_Clinical_Data!A:A,Raw_Clinical_Data!B:B)</f>
        <v>SITE02</v>
      </c>
      <c r="D14" t="s">
        <v>131</v>
      </c>
      <c r="E14" t="s">
        <v>130</v>
      </c>
      <c r="F14" t="s">
        <v>100</v>
      </c>
      <c r="G14" t="s">
        <v>104</v>
      </c>
    </row>
  </sheetData>
  <phoneticPr fontId="4" type="noConversion"/>
  <conditionalFormatting sqref="A2:G14">
    <cfRule type="containsText" dxfId="3" priority="1" operator="containsText" text="closed">
      <formula>NOT(ISERROR(SEARCH("closed",A2)))</formula>
    </cfRule>
    <cfRule type="containsText" dxfId="2" priority="2" operator="containsText" text="in ">
      <formula>NOT(ISERROR(SEARCH("in ",A2)))</formula>
    </cfRule>
    <cfRule type="containsText" dxfId="1" priority="3" operator="containsText" text="open">
      <formula>NOT(ISERROR(SEARCH("open",A2)))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7EC3-C305-49DE-B495-788F71EC1C85}">
  <dimension ref="A3:J23"/>
  <sheetViews>
    <sheetView tabSelected="1" workbookViewId="0">
      <selection activeCell="A25" sqref="A25"/>
    </sheetView>
  </sheetViews>
  <sheetFormatPr defaultRowHeight="14.4" x14ac:dyDescent="0.3"/>
  <cols>
    <col min="1" max="2" width="16.21875" bestFit="1" customWidth="1"/>
    <col min="3" max="3" width="10.21875" bestFit="1" customWidth="1"/>
    <col min="4" max="4" width="5.5546875" bestFit="1" customWidth="1"/>
    <col min="5" max="5" width="12.6640625" bestFit="1" customWidth="1"/>
    <col min="6" max="6" width="16.21875" bestFit="1" customWidth="1"/>
    <col min="9" max="9" width="20" bestFit="1" customWidth="1"/>
    <col min="10" max="10" width="17.5546875" bestFit="1" customWidth="1"/>
    <col min="11" max="21" width="7.44140625" bestFit="1" customWidth="1"/>
    <col min="22" max="22" width="10.77734375" bestFit="1" customWidth="1"/>
  </cols>
  <sheetData>
    <row r="3" spans="1:10" x14ac:dyDescent="0.3">
      <c r="B3" t="s">
        <v>135</v>
      </c>
      <c r="I3" s="6" t="s">
        <v>132</v>
      </c>
      <c r="J3" t="s">
        <v>134</v>
      </c>
    </row>
    <row r="4" spans="1:10" x14ac:dyDescent="0.3">
      <c r="A4" s="7" t="s">
        <v>110</v>
      </c>
      <c r="B4" s="8">
        <v>2</v>
      </c>
      <c r="I4" s="7" t="s">
        <v>94</v>
      </c>
      <c r="J4" s="8">
        <v>1</v>
      </c>
    </row>
    <row r="5" spans="1:10" x14ac:dyDescent="0.3">
      <c r="A5" s="7" t="s">
        <v>100</v>
      </c>
      <c r="B5" s="8">
        <v>2</v>
      </c>
      <c r="C5">
        <f>COUNTA(A:A)</f>
        <v>4</v>
      </c>
      <c r="I5" s="7" t="s">
        <v>98</v>
      </c>
      <c r="J5" s="8">
        <v>1</v>
      </c>
    </row>
    <row r="6" spans="1:10" x14ac:dyDescent="0.3">
      <c r="A6" s="7" t="s">
        <v>96</v>
      </c>
      <c r="B6" s="8">
        <v>9</v>
      </c>
      <c r="I6" s="7" t="s">
        <v>126</v>
      </c>
      <c r="J6" s="8">
        <v>2</v>
      </c>
    </row>
    <row r="7" spans="1:10" x14ac:dyDescent="0.3">
      <c r="A7" s="7" t="s">
        <v>133</v>
      </c>
      <c r="B7" s="8">
        <v>13</v>
      </c>
      <c r="I7" s="7" t="s">
        <v>102</v>
      </c>
      <c r="J7" s="8">
        <v>1</v>
      </c>
    </row>
    <row r="8" spans="1:10" x14ac:dyDescent="0.3">
      <c r="I8" s="7" t="s">
        <v>122</v>
      </c>
      <c r="J8" s="8">
        <v>2</v>
      </c>
    </row>
    <row r="9" spans="1:10" x14ac:dyDescent="0.3">
      <c r="I9" s="7" t="s">
        <v>131</v>
      </c>
      <c r="J9" s="8">
        <v>1</v>
      </c>
    </row>
    <row r="10" spans="1:10" x14ac:dyDescent="0.3">
      <c r="I10" s="7" t="s">
        <v>105</v>
      </c>
      <c r="J10" s="8">
        <v>1</v>
      </c>
    </row>
    <row r="11" spans="1:10" x14ac:dyDescent="0.3">
      <c r="I11" s="7" t="s">
        <v>117</v>
      </c>
      <c r="J11" s="8">
        <v>3</v>
      </c>
    </row>
    <row r="12" spans="1:10" x14ac:dyDescent="0.3">
      <c r="I12" s="7" t="s">
        <v>108</v>
      </c>
      <c r="J12" s="8">
        <v>1</v>
      </c>
    </row>
    <row r="13" spans="1:10" x14ac:dyDescent="0.3">
      <c r="I13" s="7" t="s">
        <v>133</v>
      </c>
      <c r="J13" s="8">
        <v>13</v>
      </c>
    </row>
    <row r="17" spans="5:6" x14ac:dyDescent="0.3">
      <c r="E17" s="6" t="s">
        <v>132</v>
      </c>
      <c r="F17" t="s">
        <v>135</v>
      </c>
    </row>
    <row r="18" spans="5:6" x14ac:dyDescent="0.3">
      <c r="E18" s="7" t="s">
        <v>25</v>
      </c>
      <c r="F18" s="8">
        <v>2</v>
      </c>
    </row>
    <row r="19" spans="5:6" x14ac:dyDescent="0.3">
      <c r="E19" s="7" t="s">
        <v>23</v>
      </c>
      <c r="F19" s="8">
        <v>5</v>
      </c>
    </row>
    <row r="20" spans="5:6" x14ac:dyDescent="0.3">
      <c r="E20" s="7" t="s">
        <v>11</v>
      </c>
      <c r="F20" s="8">
        <v>2</v>
      </c>
    </row>
    <row r="21" spans="5:6" x14ac:dyDescent="0.3">
      <c r="E21" s="7" t="s">
        <v>136</v>
      </c>
      <c r="F21" s="8">
        <v>1</v>
      </c>
    </row>
    <row r="22" spans="5:6" x14ac:dyDescent="0.3">
      <c r="E22" s="7" t="s">
        <v>16</v>
      </c>
      <c r="F22" s="8">
        <v>3</v>
      </c>
    </row>
    <row r="23" spans="5:6" x14ac:dyDescent="0.3">
      <c r="E23" s="7" t="s">
        <v>133</v>
      </c>
      <c r="F23" s="8">
        <v>13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Raw_Clinical_Data</vt:lpstr>
      <vt:lpstr>Validation_Checks</vt:lpstr>
      <vt:lpstr>Query_Tracker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Lavita Lobo</dc:creator>
  <cp:lastModifiedBy>mubashir malick</cp:lastModifiedBy>
  <dcterms:created xsi:type="dcterms:W3CDTF">2026-05-23T12:34:21Z</dcterms:created>
  <dcterms:modified xsi:type="dcterms:W3CDTF">2026-05-24T20:44:34Z</dcterms:modified>
</cp:coreProperties>
</file>
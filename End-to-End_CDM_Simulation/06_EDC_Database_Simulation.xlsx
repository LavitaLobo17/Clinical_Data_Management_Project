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e4e16ebf3d39a3e7/Desktop/CDM project/Final/"/>
    </mc:Choice>
  </mc:AlternateContent>
  <xr:revisionPtr revIDLastSave="0" documentId="8_{D696117D-1104-4F0C-9AE0-7FB64E340DD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EDC_Data_Overview" sheetId="1" r:id="rId1"/>
    <sheet name="Edit_Checks" sheetId="2" r:id="rId2"/>
    <sheet name="Edit_Check_Test" sheetId="18" r:id="rId3"/>
    <sheet name="UAT" sheetId="21" r:id="rId4"/>
    <sheet name="01_Demographics" sheetId="3" r:id="rId5"/>
    <sheet name="02_Consent" sheetId="4" r:id="rId6"/>
    <sheet name="03_Eligibility" sheetId="5" r:id="rId7"/>
    <sheet name="04_Medical_History" sheetId="6" r:id="rId8"/>
    <sheet name="05_Medications" sheetId="7" r:id="rId9"/>
    <sheet name="06_Vital_Signs" sheetId="8" r:id="rId10"/>
    <sheet name="07_Labs" sheetId="9" r:id="rId11"/>
    <sheet name="08_Efficacy" sheetId="10" r:id="rId12"/>
    <sheet name="09_AE" sheetId="11" r:id="rId13"/>
    <sheet name="10_Exposure" sheetId="12" r:id="rId14"/>
    <sheet name="11_Disposition" sheetId="13" r:id="rId15"/>
    <sheet name="Query_log" sheetId="19" r:id="rId16"/>
    <sheet name="Data_Cleaning" sheetId="20" r:id="rId17"/>
    <sheet name="Medical_Coding" sheetId="22" r:id="rId18"/>
    <sheet name="External_Data_Reconciliation" sheetId="23" r:id="rId19"/>
    <sheet name="Data_Review" sheetId="24" r:id="rId20"/>
    <sheet name="Database_Freeze" sheetId="25" r:id="rId2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7" i="18" l="1"/>
  <c r="H33" i="18"/>
  <c r="H32" i="18"/>
  <c r="H31" i="18"/>
  <c r="H30" i="18"/>
  <c r="H29" i="18"/>
  <c r="H28" i="18"/>
  <c r="H27" i="18"/>
  <c r="H26" i="18"/>
  <c r="H25" i="18"/>
  <c r="H24" i="18"/>
  <c r="H23" i="18"/>
  <c r="H22" i="18"/>
  <c r="H21" i="18"/>
  <c r="H20" i="18"/>
  <c r="H19" i="18"/>
  <c r="H18" i="18"/>
  <c r="H14" i="18"/>
  <c r="H15" i="18"/>
  <c r="H16" i="18"/>
  <c r="F11" i="18"/>
  <c r="F15" i="18"/>
  <c r="F14" i="18"/>
  <c r="F16" i="18"/>
  <c r="F17" i="18"/>
  <c r="F18" i="18"/>
  <c r="F19" i="18"/>
  <c r="F20" i="18"/>
  <c r="F21" i="18"/>
  <c r="F22" i="18"/>
  <c r="F23" i="18"/>
  <c r="F24" i="18"/>
  <c r="F25" i="18"/>
  <c r="F26" i="18"/>
  <c r="F27" i="18"/>
  <c r="F28" i="18"/>
  <c r="F29" i="18"/>
  <c r="F30" i="18"/>
  <c r="F31" i="18"/>
  <c r="F32" i="18"/>
  <c r="F33" i="18"/>
  <c r="H13" i="18"/>
  <c r="H12" i="18"/>
  <c r="H11" i="18"/>
  <c r="H10" i="18"/>
  <c r="H9" i="18"/>
  <c r="H8" i="18"/>
  <c r="H7" i="18"/>
  <c r="H6" i="18"/>
  <c r="H5" i="18"/>
  <c r="H4" i="18"/>
  <c r="F4" i="18"/>
  <c r="F13" i="18"/>
  <c r="F12" i="18"/>
  <c r="F10" i="18"/>
  <c r="F9" i="18"/>
  <c r="F8" i="18"/>
  <c r="F7" i="18"/>
  <c r="F6" i="18"/>
  <c r="F5" i="18"/>
</calcChain>
</file>

<file path=xl/sharedStrings.xml><?xml version="1.0" encoding="utf-8"?>
<sst xmlns="http://schemas.openxmlformats.org/spreadsheetml/2006/main" count="1919" uniqueCount="731">
  <si>
    <t>Form No.</t>
  </si>
  <si>
    <t>Form Name</t>
  </si>
  <si>
    <t>Visit</t>
  </si>
  <si>
    <t>EDC Page/Module</t>
  </si>
  <si>
    <t>Repeating Form?</t>
  </si>
  <si>
    <t>Entry Type</t>
  </si>
  <si>
    <t>Status</t>
  </si>
  <si>
    <t>Notes</t>
  </si>
  <si>
    <t>Form 01</t>
  </si>
  <si>
    <t>Subject Identification &amp; Demographics</t>
  </si>
  <si>
    <t>Screening</t>
  </si>
  <si>
    <t>Subject Demographics</t>
  </si>
  <si>
    <t>No</t>
  </si>
  <si>
    <t>Data Entry</t>
  </si>
  <si>
    <t>Configured</t>
  </si>
  <si>
    <t>Subject-level information</t>
  </si>
  <si>
    <t>Form 02</t>
  </si>
  <si>
    <t>Informed Consent</t>
  </si>
  <si>
    <t>Consent information</t>
  </si>
  <si>
    <t>Form 03</t>
  </si>
  <si>
    <t>Eligibility – Inclusion &amp; Exclusion Criteria</t>
  </si>
  <si>
    <t>Eligibility</t>
  </si>
  <si>
    <t>Protocol eligibility assessment</t>
  </si>
  <si>
    <t>Form 04</t>
  </si>
  <si>
    <t>Medical History</t>
  </si>
  <si>
    <t>Yes</t>
  </si>
  <si>
    <t>Relevant medical history</t>
  </si>
  <si>
    <t>Form 05</t>
  </si>
  <si>
    <t>Prior &amp; Concomitant Medications</t>
  </si>
  <si>
    <t>Screening / Follow-up</t>
  </si>
  <si>
    <t>Medications</t>
  </si>
  <si>
    <t>Medication records</t>
  </si>
  <si>
    <t>Form 06</t>
  </si>
  <si>
    <t>Vital Signs</t>
  </si>
  <si>
    <t>Screening / Baseline / Follow-up</t>
  </si>
  <si>
    <t>Visit-specific measurements</t>
  </si>
  <si>
    <t>Form 07</t>
  </si>
  <si>
    <t>Laboratory Assessments</t>
  </si>
  <si>
    <t>Laboratory Data</t>
  </si>
  <si>
    <t>Laboratory results</t>
  </si>
  <si>
    <t>Form 08</t>
  </si>
  <si>
    <t>Efficacy Assessment</t>
  </si>
  <si>
    <t>Baseline / Follow-up</t>
  </si>
  <si>
    <t>Efficacy Assessments</t>
  </si>
  <si>
    <t>Protocol-defined efficacy assessments</t>
  </si>
  <si>
    <t>Form 09</t>
  </si>
  <si>
    <t>Adverse Events</t>
  </si>
  <si>
    <t>Follow-up</t>
  </si>
  <si>
    <t>AE records</t>
  </si>
  <si>
    <t>Form 10</t>
  </si>
  <si>
    <t>Study Drug Exposure &amp; Compliance</t>
  </si>
  <si>
    <t>Study Drug Exposure/Compliance</t>
  </si>
  <si>
    <t>Treatment exposure and compliance</t>
  </si>
  <si>
    <t>Form 11</t>
  </si>
  <si>
    <t>Study Completion / Early Termination</t>
  </si>
  <si>
    <t>End of Study / Early Termination</t>
  </si>
  <si>
    <t>Study Completion</t>
  </si>
  <si>
    <t>Completion or early termination information</t>
  </si>
  <si>
    <t>XYZ-101 Phase III Clinical Trial - EDC Build overview</t>
  </si>
  <si>
    <t>Edit Check ID</t>
  </si>
  <si>
    <t>Field(s)</t>
  </si>
  <si>
    <t>Check Description</t>
  </si>
  <si>
    <t>Check Type</t>
  </si>
  <si>
    <t>Rule / Logic</t>
  </si>
  <si>
    <t>Trigger Condition</t>
  </si>
  <si>
    <t>System Action</t>
  </si>
  <si>
    <t>Query Required?</t>
  </si>
  <si>
    <t>Severity</t>
  </si>
  <si>
    <t>EC-001</t>
  </si>
  <si>
    <t>Subject ID</t>
  </si>
  <si>
    <t>Subject ID must be unique</t>
  </si>
  <si>
    <t>Duplicate</t>
  </si>
  <si>
    <t>Each Subject ID must be unique</t>
  </si>
  <si>
    <t>Duplicate Subject ID entered</t>
  </si>
  <si>
    <t>Query</t>
  </si>
  <si>
    <t>Major</t>
  </si>
  <si>
    <t>EC-002</t>
  </si>
  <si>
    <t>Subject ID must not be blank</t>
  </si>
  <si>
    <t>Required</t>
  </si>
  <si>
    <t>Subject ID is required</t>
  </si>
  <si>
    <t>Subject ID is blank</t>
  </si>
  <si>
    <t>EC-003</t>
  </si>
  <si>
    <t>Date of Birth</t>
  </si>
  <si>
    <t>Date of birth must be a valid date</t>
  </si>
  <si>
    <t>Date</t>
  </si>
  <si>
    <t>Date of Birth must be a valid calendar date</t>
  </si>
  <si>
    <t>Invalid date entered</t>
  </si>
  <si>
    <t>Minor</t>
  </si>
  <si>
    <t>EC-004</t>
  </si>
  <si>
    <t>Age</t>
  </si>
  <si>
    <t>Subject must meet minimum age requirement</t>
  </si>
  <si>
    <t>Range</t>
  </si>
  <si>
    <t>Age must be between 18 and 75 years</t>
  </si>
  <si>
    <t>Age &lt; 18 or Age &gt; 75</t>
  </si>
  <si>
    <t>EC-005</t>
  </si>
  <si>
    <t>Sex</t>
  </si>
  <si>
    <t>Sex must contain a valid coded value</t>
  </si>
  <si>
    <t>Controlled Terminology</t>
  </si>
  <si>
    <t>Sex must be Male or Female</t>
  </si>
  <si>
    <t>Value other than Male/Female entered</t>
  </si>
  <si>
    <t>EC-006</t>
  </si>
  <si>
    <t>Consent Obtained</t>
  </si>
  <si>
    <t>Informed consent must be obtained</t>
  </si>
  <si>
    <t>Consent must be Yes</t>
  </si>
  <si>
    <t>Consent = No</t>
  </si>
  <si>
    <t>EC-007</t>
  </si>
  <si>
    <t>Consent Date</t>
  </si>
  <si>
    <t>Consent date must be completed when consent is obtained</t>
  </si>
  <si>
    <t>If Consent = Yes, Consent Date is required</t>
  </si>
  <si>
    <t>Consent = Yes and Consent Date is blank</t>
  </si>
  <si>
    <t>EC-008</t>
  </si>
  <si>
    <t>Consent Date, Procedure Date</t>
  </si>
  <si>
    <t>Consent must occur before study procedures</t>
  </si>
  <si>
    <t>Cross-field</t>
  </si>
  <si>
    <t>Consent Date must be on or before first study procedure date</t>
  </si>
  <si>
    <t>Procedure date is earlier than Consent Date</t>
  </si>
  <si>
    <t>EC-009</t>
  </si>
  <si>
    <t>Inclusion Criteria</t>
  </si>
  <si>
    <t>Inclusion criteria must be satisfied</t>
  </si>
  <si>
    <t>All required inclusion criteria must be Yes</t>
  </si>
  <si>
    <t>Any required inclusion criterion = No</t>
  </si>
  <si>
    <t>EC-010</t>
  </si>
  <si>
    <t>Exclusion Criteria</t>
  </si>
  <si>
    <t>Exclusion criteria must not be met</t>
  </si>
  <si>
    <t>All exclusion criteria must be No</t>
  </si>
  <si>
    <t>Any exclusion criterion = Yes</t>
  </si>
  <si>
    <t>EC-011</t>
  </si>
  <si>
    <t>Eligibility Status</t>
  </si>
  <si>
    <t>Eligibility status must agree with criteria</t>
  </si>
  <si>
    <t>Eligible only when all required inclusion criteria are met and no exclusion criterion is met</t>
  </si>
  <si>
    <t>Eligibility Status = Eligible but criteria not satisfied</t>
  </si>
  <si>
    <t>EC-012</t>
  </si>
  <si>
    <t>Medical History Present, Medical History Details</t>
  </si>
  <si>
    <t>Medical history details required when history is present</t>
  </si>
  <si>
    <t>If Medical History Present = Yes, details must be completed</t>
  </si>
  <si>
    <t>History = Yes and details are blank</t>
  </si>
  <si>
    <t>EC-013</t>
  </si>
  <si>
    <t>Medication Name, Start Date</t>
  </si>
  <si>
    <t>Medication start date is required when medication is recorded</t>
  </si>
  <si>
    <t>Medication record requires a start date</t>
  </si>
  <si>
    <t>Medication entered and Start Date blank</t>
  </si>
  <si>
    <t>EC-014</t>
  </si>
  <si>
    <t>Medication Start Date, Consent Date</t>
  </si>
  <si>
    <t>Medication start date must not precede informed consent for study-related medication</t>
  </si>
  <si>
    <t>Study-related medication date must follow applicable consent requirements</t>
  </si>
  <si>
    <t>Invalid medication timing</t>
  </si>
  <si>
    <t>EC-015</t>
  </si>
  <si>
    <t>Systolic BP</t>
  </si>
  <si>
    <t>Systolic blood pressure must be within plausible range</t>
  </si>
  <si>
    <t>Systolic BP must be within predefined plausible clinical range</t>
  </si>
  <si>
    <t>Value outside range entered</t>
  </si>
  <si>
    <t>EC-016</t>
  </si>
  <si>
    <t>Diastolic BP</t>
  </si>
  <si>
    <t>Diastolic blood pressure must be within plausible range</t>
  </si>
  <si>
    <t>Diastolic BP must be within predefined plausible clinical range</t>
  </si>
  <si>
    <t>EC-017</t>
  </si>
  <si>
    <t>Systolic BP, Diastolic BP</t>
  </si>
  <si>
    <t>Systolic BP must be greater than diastolic BP</t>
  </si>
  <si>
    <t>Systolic BP &gt; Diastolic BP</t>
  </si>
  <si>
    <t>Systolic BP &lt;= Diastolic BP</t>
  </si>
  <si>
    <t>EC-018</t>
  </si>
  <si>
    <t>Visit Date</t>
  </si>
  <si>
    <t>Visit date must not be before previous visit date</t>
  </si>
  <si>
    <t>Current visit date must be on or after previous visit date</t>
  </si>
  <si>
    <t>Current visit date &lt; previous visit date</t>
  </si>
  <si>
    <t>EC-019</t>
  </si>
  <si>
    <t>HbA1c</t>
  </si>
  <si>
    <t>HbA1c must be within plausible laboratory range</t>
  </si>
  <si>
    <t>HbA1c must be within predefined plausible range</t>
  </si>
  <si>
    <t>EC-020</t>
  </si>
  <si>
    <t>Laboratory Result, Collection Date</t>
  </si>
  <si>
    <t>Laboratory result requires a collection date</t>
  </si>
  <si>
    <t>If laboratory result is entered, collection date is required</t>
  </si>
  <si>
    <t>Result entered and collection date blank</t>
  </si>
  <si>
    <t>EC-021</t>
  </si>
  <si>
    <t>ALT, AST</t>
  </si>
  <si>
    <t>Liver enzyme values must be within plausible range</t>
  </si>
  <si>
    <t>ALT and AST must be within predefined plausible ranges</t>
  </si>
  <si>
    <t>EC-022</t>
  </si>
  <si>
    <t>Efficacy assessment must be completed at required visits</t>
  </si>
  <si>
    <t>Required efficacy assessment must be present for scheduled assessment visits</t>
  </si>
  <si>
    <t>Required assessment missing</t>
  </si>
  <si>
    <t>EC-023</t>
  </si>
  <si>
    <t>Visit Date, Assessment Date</t>
  </si>
  <si>
    <t>Assessment date must correspond to the study visit</t>
  </si>
  <si>
    <t>Assessment date must fall within the applicable visit window</t>
  </si>
  <si>
    <t>Assessment outside visit window</t>
  </si>
  <si>
    <t>EC-024</t>
  </si>
  <si>
    <t>AE Present, AE Details</t>
  </si>
  <si>
    <t>AE details are required when an adverse event is reported</t>
  </si>
  <si>
    <t>If AE Present = Yes, AE details must be completed</t>
  </si>
  <si>
    <t>AE = Yes and details blank</t>
  </si>
  <si>
    <t>EC-025</t>
  </si>
  <si>
    <t>AE Start Date, AE End Date</t>
  </si>
  <si>
    <t>AE end date cannot precede AE start date</t>
  </si>
  <si>
    <t>AE End Date &gt;= AE Start Date</t>
  </si>
  <si>
    <t>AE End Date &lt; AE Start Date</t>
  </si>
  <si>
    <t>EC-026</t>
  </si>
  <si>
    <t>AE Start Date, First Dose Date</t>
  </si>
  <si>
    <t>AE timing must be consistent with treatment exposure</t>
  </si>
  <si>
    <t>AE dates must be consistent with study treatment exposure</t>
  </si>
  <si>
    <t>AE timing inconsistent with treatment dates</t>
  </si>
  <si>
    <t>EC-027</t>
  </si>
  <si>
    <t>Study Drug Start Date, Randomization Date</t>
  </si>
  <si>
    <t>Study drug must not start before randomization</t>
  </si>
  <si>
    <t>Study Drug Start Date &gt;= Randomization Date</t>
  </si>
  <si>
    <t>Drug start date &lt; Randomization date</t>
  </si>
  <si>
    <t>EC-028</t>
  </si>
  <si>
    <t>Dose, Dosing Date</t>
  </si>
  <si>
    <t>Dose information requires a dosing date</t>
  </si>
  <si>
    <t>If dose is entered, dosing date is required</t>
  </si>
  <si>
    <t>Dose entered and dosing date blank</t>
  </si>
  <si>
    <t>EC-029</t>
  </si>
  <si>
    <t>Compliance Percentage</t>
  </si>
  <si>
    <t>Study drug compliance must be within 0–100%</t>
  </si>
  <si>
    <t>Compliance must be between 0 and 100%</t>
  </si>
  <si>
    <t>Compliance &lt; 0 or &gt; 100</t>
  </si>
  <si>
    <t>EC-030</t>
  </si>
  <si>
    <t>Completion Date, Last Study Visit Date</t>
  </si>
  <si>
    <t>Completion date must not precede the last study visit</t>
  </si>
  <si>
    <t>Completion Date &gt;= Last Study Visit Date</t>
  </si>
  <si>
    <t>Completion date &lt; last study visit date</t>
  </si>
  <si>
    <t>XYZ-101 Phase III Clinical Trial - Edit Check Specification</t>
  </si>
  <si>
    <t>Screening Number</t>
  </si>
  <si>
    <t>Site ID</t>
  </si>
  <si>
    <t>Race</t>
  </si>
  <si>
    <t>Ethnicity</t>
  </si>
  <si>
    <t>SUBJ-001</t>
  </si>
  <si>
    <t>SCR-001</t>
  </si>
  <si>
    <t>SITE-001</t>
  </si>
  <si>
    <t>Male</t>
  </si>
  <si>
    <t>Asian</t>
  </si>
  <si>
    <t>Not Hispanic or Latino</t>
  </si>
  <si>
    <t>SUBJ-002</t>
  </si>
  <si>
    <t>SCR-002</t>
  </si>
  <si>
    <t>Female</t>
  </si>
  <si>
    <t>SUBJ-003</t>
  </si>
  <si>
    <t>SCR-003</t>
  </si>
  <si>
    <t>SUBJ-004</t>
  </si>
  <si>
    <t>SCR-004</t>
  </si>
  <si>
    <t>SUBJ-005</t>
  </si>
  <si>
    <t>SCR-005</t>
  </si>
  <si>
    <t>SUBJ-006</t>
  </si>
  <si>
    <t>SCR-006</t>
  </si>
  <si>
    <t>SUBJ-007</t>
  </si>
  <si>
    <t>SCR-007</t>
  </si>
  <si>
    <t>SUBJ-008</t>
  </si>
  <si>
    <t>SCR-008</t>
  </si>
  <si>
    <t>SUBJ-009</t>
  </si>
  <si>
    <t>SCR-009</t>
  </si>
  <si>
    <t>SUBJ-010</t>
  </si>
  <si>
    <t>SCR-010</t>
  </si>
  <si>
    <t>Form 01 – Subject Identification &amp; Demographics</t>
  </si>
  <si>
    <t>Form 02 – Informed Consent</t>
  </si>
  <si>
    <t>Consent Version</t>
  </si>
  <si>
    <t>Version 1.0</t>
  </si>
  <si>
    <t>Form 03 – Eligibility: Inclusion &amp; Exclusion Criteria</t>
  </si>
  <si>
    <t>Inclusion Criterion Assessment</t>
  </si>
  <si>
    <t>Exclusion Criteria Assessment</t>
  </si>
  <si>
    <t>Eligibility Date</t>
  </si>
  <si>
    <t>Pass</t>
  </si>
  <si>
    <t>Eligible</t>
  </si>
  <si>
    <t>Form 04 – Medical History</t>
  </si>
  <si>
    <t>Medical History Present</t>
  </si>
  <si>
    <t>Medical History Term</t>
  </si>
  <si>
    <t>Start Date</t>
  </si>
  <si>
    <t>Ongoing</t>
  </si>
  <si>
    <t>Hypertension</t>
  </si>
  <si>
    <t>-</t>
  </si>
  <si>
    <t>Type 2 Diabetes Mellitus</t>
  </si>
  <si>
    <t>Dyslipidemia</t>
  </si>
  <si>
    <t>Hypothyroidism</t>
  </si>
  <si>
    <t>Form 05 – Prior &amp; Concomitant Medications</t>
  </si>
  <si>
    <t>Medication Name</t>
  </si>
  <si>
    <t>Stop Date</t>
  </si>
  <si>
    <t>Dose</t>
  </si>
  <si>
    <t>Route</t>
  </si>
  <si>
    <t>Metformin</t>
  </si>
  <si>
    <t>500 mg</t>
  </si>
  <si>
    <t>Oral</t>
  </si>
  <si>
    <t>Glimepiride</t>
  </si>
  <si>
    <t>2 mg</t>
  </si>
  <si>
    <t>Atorvastatin</t>
  </si>
  <si>
    <t>20 mg</t>
  </si>
  <si>
    <t>Amlodipine</t>
  </si>
  <si>
    <t>5 mg</t>
  </si>
  <si>
    <t>Levothyroxine</t>
  </si>
  <si>
    <t>50 mcg</t>
  </si>
  <si>
    <t>Form 06 – Vital Signs</t>
  </si>
  <si>
    <t>Assessment Date</t>
  </si>
  <si>
    <t>Pulse Rate</t>
  </si>
  <si>
    <t>Temperature</t>
  </si>
  <si>
    <t>Weight</t>
  </si>
  <si>
    <t>Systolic Blood Pressure</t>
  </si>
  <si>
    <t>Diastolic Blood Pressure</t>
  </si>
  <si>
    <t>Form 07 – Laboratory Assessments</t>
  </si>
  <si>
    <t>Collection Date</t>
  </si>
  <si>
    <t>Unit</t>
  </si>
  <si>
    <t>%</t>
  </si>
  <si>
    <t>4.0-5.6</t>
  </si>
  <si>
    <t>ALT</t>
  </si>
  <si>
    <t>U/L</t>
  </si>
  <si>
    <t>AST</t>
  </si>
  <si>
    <t>Laboratory Test</t>
  </si>
  <si>
    <t>Laboratory Result</t>
  </si>
  <si>
    <t>Reference Range</t>
  </si>
  <si>
    <t>7-56</t>
  </si>
  <si>
    <t>10-40</t>
  </si>
  <si>
    <t>Form 08 – Efficacy Assessments</t>
  </si>
  <si>
    <t>HbA1c Result</t>
  </si>
  <si>
    <t>HbA1c Unit</t>
  </si>
  <si>
    <t>Baseline</t>
  </si>
  <si>
    <t>Week 12</t>
  </si>
  <si>
    <t>Assessment Status</t>
  </si>
  <si>
    <t>Completed</t>
  </si>
  <si>
    <t>Form 09 – Adverse Events</t>
  </si>
  <si>
    <t>AE Term</t>
  </si>
  <si>
    <t>End Date</t>
  </si>
  <si>
    <t>Serious</t>
  </si>
  <si>
    <t>Relationship of Study Treatment</t>
  </si>
  <si>
    <t>Action Taken</t>
  </si>
  <si>
    <t>Outcome</t>
  </si>
  <si>
    <t>Headache</t>
  </si>
  <si>
    <t>Mild</t>
  </si>
  <si>
    <t>Not Related</t>
  </si>
  <si>
    <t>No Action Taken</t>
  </si>
  <si>
    <t>Recovered</t>
  </si>
  <si>
    <t>Nausea</t>
  </si>
  <si>
    <t>Possibly Related</t>
  </si>
  <si>
    <t>Dizziness</t>
  </si>
  <si>
    <t>Moderate</t>
  </si>
  <si>
    <t>Study Treatment Interrupted</t>
  </si>
  <si>
    <t>Upper respiratory tract infection</t>
  </si>
  <si>
    <t>Concomitant Medication</t>
  </si>
  <si>
    <t>Form 10 – Study Drug Exposure &amp; Compliance</t>
  </si>
  <si>
    <t>Study Drug Date</t>
  </si>
  <si>
    <t>Dose Administered</t>
  </si>
  <si>
    <t>Dose Unit</t>
  </si>
  <si>
    <t>Administration Status</t>
  </si>
  <si>
    <t>Compliance Assessment</t>
  </si>
  <si>
    <t>mg</t>
  </si>
  <si>
    <t>Administered</t>
  </si>
  <si>
    <t>Compliant</t>
  </si>
  <si>
    <t>Form 11 – Study Completion / Early Termination</t>
  </si>
  <si>
    <t>Study Completion Status</t>
  </si>
  <si>
    <t>Completion Date</t>
  </si>
  <si>
    <t>Discontinuation Reason</t>
  </si>
  <si>
    <t>Last Study Visit</t>
  </si>
  <si>
    <t>Not Applicable</t>
  </si>
  <si>
    <t>ECT-001</t>
  </si>
  <si>
    <t>ECT-002</t>
  </si>
  <si>
    <t>ECT-003</t>
  </si>
  <si>
    <t>ECT-004</t>
  </si>
  <si>
    <t>ECT-005</t>
  </si>
  <si>
    <t>ECT-006</t>
  </si>
  <si>
    <t>ECT-007</t>
  </si>
  <si>
    <t>ECT-008</t>
  </si>
  <si>
    <t>ECT-009</t>
  </si>
  <si>
    <t>ECT-010</t>
  </si>
  <si>
    <t xml:space="preserve">Test Case ID </t>
  </si>
  <si>
    <t xml:space="preserve"> Edit Check ID </t>
  </si>
  <si>
    <t>XYZ-101 Phase III Clinical Trial - Edit Check Testing</t>
  </si>
  <si>
    <t xml:space="preserve"> Validation Rule </t>
  </si>
  <si>
    <t>Consent Date required when consent is Yes</t>
  </si>
  <si>
    <t>Inclusion Criterion = Fail</t>
  </si>
  <si>
    <t>ECT-011</t>
  </si>
  <si>
    <t>ECT-012</t>
  </si>
  <si>
    <t>ECT-013</t>
  </si>
  <si>
    <t>ECT-014</t>
  </si>
  <si>
    <t>ECT-015</t>
  </si>
  <si>
    <t>Systolic BP = 300</t>
  </si>
  <si>
    <t>ECT-016</t>
  </si>
  <si>
    <t>Diastolic BP = 200</t>
  </si>
  <si>
    <t>Diastolic BP must be within plausible range</t>
  </si>
  <si>
    <t>ECT-017</t>
  </si>
  <si>
    <t>ECT-018</t>
  </si>
  <si>
    <t>ECT-019</t>
  </si>
  <si>
    <t>HbA1c = 25</t>
  </si>
  <si>
    <t>HbA1c must be within plausible range</t>
  </si>
  <si>
    <t>ECT-020</t>
  </si>
  <si>
    <t>Lab result requires collection date</t>
  </si>
  <si>
    <t>ECT-021</t>
  </si>
  <si>
    <t>ALT = 200</t>
  </si>
  <si>
    <t>ALT must be within plausible range</t>
  </si>
  <si>
    <t>ECT-022</t>
  </si>
  <si>
    <t>ECT-023</t>
  </si>
  <si>
    <t>ECT-024</t>
  </si>
  <si>
    <t>ECT-025</t>
  </si>
  <si>
    <t>AE End Date must be on or after Start Date</t>
  </si>
  <si>
    <t>ECT-026</t>
  </si>
  <si>
    <t>ECT-027</t>
  </si>
  <si>
    <t>Study drug administration must follow treatment start</t>
  </si>
  <si>
    <t>ECT-028</t>
  </si>
  <si>
    <t>Dose requires administration date</t>
  </si>
  <si>
    <t>ECT-029</t>
  </si>
  <si>
    <t>Compliance must be within 0–100%</t>
  </si>
  <si>
    <t>ECT-030</t>
  </si>
  <si>
    <t xml:space="preserve"> Test Input 1 </t>
  </si>
  <si>
    <t xml:space="preserve"> Test Input 2 </t>
  </si>
  <si>
    <t xml:space="preserve"> Initial Result </t>
  </si>
  <si>
    <t xml:space="preserve"> Corrected Value </t>
  </si>
  <si>
    <t xml:space="preserve"> Re-test Result </t>
  </si>
  <si>
    <t>Date of Birth cannot be future date</t>
  </si>
  <si>
    <t>Age must be 18–75</t>
  </si>
  <si>
    <t>Procedure date must be after consent date</t>
  </si>
  <si>
    <t>Fail</t>
  </si>
  <si>
    <t>Inclusion criterion must Pass</t>
  </si>
  <si>
    <t>Exclusion criterion assessment must Pass</t>
  </si>
  <si>
    <t>Eligibility Status = Eligible</t>
  </si>
  <si>
    <t>Eligibility Status must agree with inclusion/exclusion criteria</t>
  </si>
  <si>
    <t>Medical History Present = Yes</t>
  </si>
  <si>
    <t>Medical History Term = blank</t>
  </si>
  <si>
    <t>Medical History Term is required when history is present</t>
  </si>
  <si>
    <t>Medication Start Date = blank</t>
  </si>
  <si>
    <t>Medication Name = Metformin</t>
  </si>
  <si>
    <t>Medication Start Date is required</t>
  </si>
  <si>
    <t>Medication Start Date = 2025-12-01</t>
  </si>
  <si>
    <t>Consent Date = 2026-01-05</t>
  </si>
  <si>
    <t>Medication timing should be consistent with consent</t>
  </si>
  <si>
    <t xml:space="preserve"> Systolic BP must be within plausible range</t>
  </si>
  <si>
    <t>Systolic BP = 70</t>
  </si>
  <si>
    <t>Diastolic BP = 90</t>
  </si>
  <si>
    <t>Assessment Date = 2026-01-15</t>
  </si>
  <si>
    <t>Previous Assessment Date = 2026-01-20</t>
  </si>
  <si>
    <t>Assessment dates must follow chronological order</t>
  </si>
  <si>
    <t>Lab Result = 8.2</t>
  </si>
  <si>
    <t>Collection Date = blank</t>
  </si>
  <si>
    <t>Efficacy Assessment = blank</t>
  </si>
  <si>
    <t>Visit = Week 12</t>
  </si>
  <si>
    <t>Efficacy assessment is required at the specified visit</t>
  </si>
  <si>
    <t>Assessment Date = 2026-04-30</t>
  </si>
  <si>
    <t>Assessment must occur within the defined visit window</t>
  </si>
  <si>
    <t>AE Present = Yes</t>
  </si>
  <si>
    <t>AE Term = blank</t>
  </si>
  <si>
    <t>AE Term is required when an AE is reported</t>
  </si>
  <si>
    <t>AE Start Date = 2026-03-10</t>
  </si>
  <si>
    <t>AE End Date = 2026-03-05</t>
  </si>
  <si>
    <t>AE Start Date = 2026-01-15</t>
  </si>
  <si>
    <t>Study Drug Date = 2026-01-21</t>
  </si>
  <si>
    <t>Study Drug Date = 2026-01-20</t>
  </si>
  <si>
    <t>Treatment Start Date = 2026-01-21</t>
  </si>
  <si>
    <t>Dose Administered = 100</t>
  </si>
  <si>
    <t>Study Drug Date = blank</t>
  </si>
  <si>
    <t>Compliance = 120%</t>
  </si>
  <si>
    <t>Completion Date = 2026-05-20</t>
  </si>
  <si>
    <t>Last Study Visit = 2026-05-25</t>
  </si>
  <si>
    <t>Completion date must be on or after last study visit</t>
  </si>
  <si>
    <t>Procedure date=04/01/2026</t>
  </si>
  <si>
    <t>Consent date=05/01/2026</t>
  </si>
  <si>
    <t>Age=80</t>
  </si>
  <si>
    <t>Sex=Unknown</t>
  </si>
  <si>
    <t>DOB=10/05/2030</t>
  </si>
  <si>
    <t>Eligibility Status = Not Eligible</t>
  </si>
  <si>
    <t>Medical History Term = Hypertension</t>
  </si>
  <si>
    <t>Medication Start Date = 2026-01-05</t>
  </si>
  <si>
    <t>Medication Start Date = 2026-01-06</t>
  </si>
  <si>
    <t>Systolic BP = 128</t>
  </si>
  <si>
    <t>Diastolic BP = 80</t>
  </si>
  <si>
    <t>Systolic BP = 120</t>
  </si>
  <si>
    <t>Assessment Date = 2026-01-21</t>
  </si>
  <si>
    <t>HbA1c = 8.2</t>
  </si>
  <si>
    <t>Collection Date = 2026-01-20</t>
  </si>
  <si>
    <t>ALT = 28</t>
  </si>
  <si>
    <t>Efficacy Assessment = Completed</t>
  </si>
  <si>
    <t>Assessment Date = 2026-04-20</t>
  </si>
  <si>
    <t>AE Term = Headache</t>
  </si>
  <si>
    <t>AE End Date = 2026-03-06</t>
  </si>
  <si>
    <t>AE Start Date = 2026-01-22</t>
  </si>
  <si>
    <t>Study Drug Date = 2026-01-22</t>
  </si>
  <si>
    <t>Compliance = 95%</t>
  </si>
  <si>
    <t>Completion Date = 2026-05-25</t>
  </si>
  <si>
    <t>Not Eligible</t>
  </si>
  <si>
    <t>Query ID</t>
  </si>
  <si>
    <t>Form</t>
  </si>
  <si>
    <t>Field</t>
  </si>
  <si>
    <t>Query Description</t>
  </si>
  <si>
    <t>Query Status</t>
  </si>
  <si>
    <t>Site Response</t>
  </si>
  <si>
    <t>Resolution Date</t>
  </si>
  <si>
    <t>QRY-001</t>
  </si>
  <si>
    <t>Please verify the eligibility status as it is inconsistent with the eligibility criteria.</t>
  </si>
  <si>
    <t>QRY-002</t>
  </si>
  <si>
    <t>Please provide the medical history term as Medical History Present is recorded as Yes.</t>
  </si>
  <si>
    <t>QRY-003</t>
  </si>
  <si>
    <t>Please provide the medication start date.</t>
  </si>
  <si>
    <t>QRY-004</t>
  </si>
  <si>
    <t>Please verify the medication start date as it precedes the consent date.</t>
  </si>
  <si>
    <t>QRY-005</t>
  </si>
  <si>
    <t>Please verify the systolic blood pressure value entered as it is outside the defined validation range.</t>
  </si>
  <si>
    <t>QRY-006</t>
  </si>
  <si>
    <t>Please verify the diastolic blood pressure value entered as it is outside the defined validation range.</t>
  </si>
  <si>
    <t>QRY-007</t>
  </si>
  <si>
    <t>Please verify the systolic and diastolic blood pressure values as systolic BP should be greater than diastolic BP.</t>
  </si>
  <si>
    <t>QRY-008</t>
  </si>
  <si>
    <t>Please verify the HbA1c result as it is outside the defined validation range.</t>
  </si>
  <si>
    <t>QRY-009</t>
  </si>
  <si>
    <t>Please verify the adverse event dates as the end date precedes the start date.</t>
  </si>
  <si>
    <t>QRY-010</t>
  </si>
  <si>
    <t>Please verify the compliance value as it is outside the permitted range.</t>
  </si>
  <si>
    <t>XYZ-101 Phase III Clinical Trial - Query Management Log</t>
  </si>
  <si>
    <t>Eligibility status corrected to Not Eligible.</t>
  </si>
  <si>
    <t>Medical history term updated as Hypertension.</t>
  </si>
  <si>
    <t>Medication start date entered as 2026-01-05.</t>
  </si>
  <si>
    <t>Medication start date corrected to 2026-01-06.</t>
  </si>
  <si>
    <t>Systolic BP verified and corrected to 128 mmHg.</t>
  </si>
  <si>
    <t>Diastolic BP verified and corrected to 80 mmHg.</t>
  </si>
  <si>
    <t>Systolic BP corrected to 120 mmHg.</t>
  </si>
  <si>
    <t>HbA1c result verified and corrected to 8.2%.</t>
  </si>
  <si>
    <t>AE end date corrected to 2026-03-12.</t>
  </si>
  <si>
    <t>Compliance value verified and corrected to 95%.</t>
  </si>
  <si>
    <t>Resolved</t>
  </si>
  <si>
    <t>Cleaning ID</t>
  </si>
  <si>
    <t>Original Value</t>
  </si>
  <si>
    <t>Corrected Value</t>
  </si>
  <si>
    <t>Cleaning Status</t>
  </si>
  <si>
    <t>CLN-001</t>
  </si>
  <si>
    <t>CLN-002</t>
  </si>
  <si>
    <t>Blank</t>
  </si>
  <si>
    <t>CLN-003</t>
  </si>
  <si>
    <t>CLN-004</t>
  </si>
  <si>
    <t>CLN-005</t>
  </si>
  <si>
    <t>CLN-006</t>
  </si>
  <si>
    <t>CLN-007</t>
  </si>
  <si>
    <t>CLN-008</t>
  </si>
  <si>
    <t>CLN-009</t>
  </si>
  <si>
    <t>CLN-010</t>
  </si>
  <si>
    <t>XYZ-101 Phase III Clinical Trial - Data Cleaning Log</t>
  </si>
  <si>
    <t>Test Case ID</t>
  </si>
  <si>
    <t>Test Area</t>
  </si>
  <si>
    <t>Test Scenario</t>
  </si>
  <si>
    <t>Expected Result</t>
  </si>
  <si>
    <t>Actual Result</t>
  </si>
  <si>
    <t>Tester</t>
  </si>
  <si>
    <t>Remarks</t>
  </si>
  <si>
    <t>UAT-001</t>
  </si>
  <si>
    <t>Form Navigation</t>
  </si>
  <si>
    <t>Open Subject Identification &amp; Demographics form</t>
  </si>
  <si>
    <t>Form opens successfully</t>
  </si>
  <si>
    <t>CDM Tester</t>
  </si>
  <si>
    <t>Form accessible</t>
  </si>
  <si>
    <t>UAT-002</t>
  </si>
  <si>
    <t>Required Fields</t>
  </si>
  <si>
    <t>Leave Subject ID blank and attempt to save</t>
  </si>
  <si>
    <t>System prevents completion or displays required-field message</t>
  </si>
  <si>
    <t>Required-field validation displayed</t>
  </si>
  <si>
    <t>Required field tested</t>
  </si>
  <si>
    <t>UAT-003</t>
  </si>
  <si>
    <t>Select Sex from predefined values</t>
  </si>
  <si>
    <t>Only configured values are available</t>
  </si>
  <si>
    <t>Configured values available</t>
  </si>
  <si>
    <t>Controlled terminology verified</t>
  </si>
  <si>
    <t>UAT-004</t>
  </si>
  <si>
    <t>Enter valid demographic data</t>
  </si>
  <si>
    <t>Data is accepted and saved</t>
  </si>
  <si>
    <t>Data saved successfully</t>
  </si>
  <si>
    <t>Valid data entry tested</t>
  </si>
  <si>
    <t>UAT-005</t>
  </si>
  <si>
    <t>Edit Check</t>
  </si>
  <si>
    <t>Enter an invalid age value</t>
  </si>
  <si>
    <t>Age edit check is triggered</t>
  </si>
  <si>
    <t>Edit check triggered</t>
  </si>
  <si>
    <t>EC-004 verified</t>
  </si>
  <si>
    <t>UAT-006</t>
  </si>
  <si>
    <t>Data Correction</t>
  </si>
  <si>
    <t>Correct the invalid age value</t>
  </si>
  <si>
    <t>Corrected value is accepted and saved</t>
  </si>
  <si>
    <t>Corrected value accepted</t>
  </si>
  <si>
    <t>Correction workflow verified</t>
  </si>
  <si>
    <t>UAT-007</t>
  </si>
  <si>
    <t>Navigate from one form to another</t>
  </si>
  <si>
    <t>Next form opens without data loss</t>
  </si>
  <si>
    <t>Navigation successful</t>
  </si>
  <si>
    <t>Navigation verified</t>
  </si>
  <si>
    <t>UAT-008</t>
  </si>
  <si>
    <t>Save &amp; Retrieve</t>
  </si>
  <si>
    <t>Save entered data and reopen the form</t>
  </si>
  <si>
    <t>Saved data remains available</t>
  </si>
  <si>
    <t>Data retrieved successfully</t>
  </si>
  <si>
    <t>Data persistence verified</t>
  </si>
  <si>
    <t>UAT-009</t>
  </si>
  <si>
    <t>Query Workflow</t>
  </si>
  <si>
    <t>Review a discrepancy requiring clarification</t>
  </si>
  <si>
    <t>Query can be documented and tracked</t>
  </si>
  <si>
    <t>Query workflow available</t>
  </si>
  <si>
    <t>Query workflow verified</t>
  </si>
  <si>
    <t>UAT-010</t>
  </si>
  <si>
    <t>Data Review</t>
  </si>
  <si>
    <t>Review entered subject data</t>
  </si>
  <si>
    <t>Data can be reviewed for completeness and consistency</t>
  </si>
  <si>
    <t>Data review completed</t>
  </si>
  <si>
    <t>Review workflow verified</t>
  </si>
  <si>
    <t>XYZ-101 Phase III Clinical Trial - Medical Coding Log</t>
  </si>
  <si>
    <t>Coding ID</t>
  </si>
  <si>
    <t>Verbatim Term</t>
  </si>
  <si>
    <t>Coding Category</t>
  </si>
  <si>
    <t>Dictionaries</t>
  </si>
  <si>
    <t>Coding Status</t>
  </si>
  <si>
    <t>Coded By</t>
  </si>
  <si>
    <t>COD-001</t>
  </si>
  <si>
    <t>MedDRA</t>
  </si>
  <si>
    <t>CDM Coder</t>
  </si>
  <si>
    <t>Term coded to standardized medical terminology</t>
  </si>
  <si>
    <t>COD-002</t>
  </si>
  <si>
    <t>COD-003</t>
  </si>
  <si>
    <t>COD-004</t>
  </si>
  <si>
    <t>COD-005</t>
  </si>
  <si>
    <t>COD-006</t>
  </si>
  <si>
    <t>Adverse Event</t>
  </si>
  <si>
    <t>AE term coded</t>
  </si>
  <si>
    <t>COD-007</t>
  </si>
  <si>
    <t>COD-008</t>
  </si>
  <si>
    <t>COD-009</t>
  </si>
  <si>
    <t>COD-010</t>
  </si>
  <si>
    <t>Coded Term/Preferred Term</t>
  </si>
  <si>
    <t>XYZ-101 Phase III Clinical Trial - External Data Reconciliation</t>
  </si>
  <si>
    <t>Reconciliation ID</t>
  </si>
  <si>
    <t>External Data Source</t>
  </si>
  <si>
    <t>External Variable</t>
  </si>
  <si>
    <t>EDC Value</t>
  </si>
  <si>
    <t>External Value</t>
  </si>
  <si>
    <t>Reconciliation Result</t>
  </si>
  <si>
    <t>Discrepancy Identified</t>
  </si>
  <si>
    <t>EXT-001</t>
  </si>
  <si>
    <t>Central Laboratory</t>
  </si>
  <si>
    <t>Match</t>
  </si>
  <si>
    <t>Values match between EDC and external laboratory data</t>
  </si>
  <si>
    <t>EXT-002</t>
  </si>
  <si>
    <t>EXT-003</t>
  </si>
  <si>
    <t>Discrepancy</t>
  </si>
  <si>
    <t>HbA1c value differs between EDC and external laboratory data</t>
  </si>
  <si>
    <t>EXT-004</t>
  </si>
  <si>
    <t>EXT-005</t>
  </si>
  <si>
    <t>EXT-006</t>
  </si>
  <si>
    <t>EXT-007</t>
  </si>
  <si>
    <t>EXT-008</t>
  </si>
  <si>
    <t>EXT-009</t>
  </si>
  <si>
    <t>EXT-010</t>
  </si>
  <si>
    <t>Investigation / Resolution</t>
  </si>
  <si>
    <t>Final Status</t>
  </si>
  <si>
    <t>No discrepancy identified; EDC and external laboratory values match.</t>
  </si>
  <si>
    <t>Reconciled</t>
  </si>
  <si>
    <t>External laboratory result was 8.6% while EDC contained 8.5%. Site was queried to verify the EDC value against the source laboratory report. Site confirmed 8.6% and EDC was corrected.</t>
  </si>
  <si>
    <t>XYZ-101 Phase III Clinical Trial - Data Review Log</t>
  </si>
  <si>
    <t>Review ID</t>
  </si>
  <si>
    <t>Review Area</t>
  </si>
  <si>
    <t>Review Check</t>
  </si>
  <si>
    <t>Finding</t>
  </si>
  <si>
    <t>Review Status</t>
  </si>
  <si>
    <t>Reviewer Remarks</t>
  </si>
  <si>
    <t>DR-001</t>
  </si>
  <si>
    <t>Demographics</t>
  </si>
  <si>
    <t>Subject identification and demographic data reviewed</t>
  </si>
  <si>
    <t>No discrepancy</t>
  </si>
  <si>
    <t>Data reviewed and found consistent</t>
  </si>
  <si>
    <t>DR-002</t>
  </si>
  <si>
    <t>Consent</t>
  </si>
  <si>
    <t>Consent status, date and version reviewed</t>
  </si>
  <si>
    <t>Consent information complete and consistent</t>
  </si>
  <si>
    <t>DR-003</t>
  </si>
  <si>
    <t>Inclusion/exclusion assessment and eligibility status reviewed</t>
  </si>
  <si>
    <t>Eligibility information reviewed</t>
  </si>
  <si>
    <t>DR-004</t>
  </si>
  <si>
    <t>Medical history entries reviewed</t>
  </si>
  <si>
    <t>Medical history information reviewed</t>
  </si>
  <si>
    <t>DR-005</t>
  </si>
  <si>
    <t>Medication name, dates, dose and route reviewed</t>
  </si>
  <si>
    <t>Medication information reviewed</t>
  </si>
  <si>
    <t>DR-006</t>
  </si>
  <si>
    <t>Blood pressure and other vital signs reviewed</t>
  </si>
  <si>
    <t>Vital sign values reviewed for consistency</t>
  </si>
  <si>
    <t>DR-007</t>
  </si>
  <si>
    <t>Lab results, collection dates and units reviewed</t>
  </si>
  <si>
    <t>Laboratory data reviewed</t>
  </si>
  <si>
    <t>DR-008</t>
  </si>
  <si>
    <t>Baseline and Week 12 efficacy data reviewed</t>
  </si>
  <si>
    <t>Efficacy assessment data reviewed</t>
  </si>
  <si>
    <t>DR-009</t>
  </si>
  <si>
    <t>AE dates, severity, seriousness and relationship reviewed</t>
  </si>
  <si>
    <t>AE data reviewed for completeness and consistency</t>
  </si>
  <si>
    <t>DR-010</t>
  </si>
  <si>
    <t>Completion status, date and last study visit reviewed</t>
  </si>
  <si>
    <t>Study completion information reviewed</t>
  </si>
  <si>
    <t>XYZ-101 Phase III Clinical Trial - Database Freeze</t>
  </si>
  <si>
    <t>Activity</t>
  </si>
  <si>
    <t>Precondition</t>
  </si>
  <si>
    <t>Activity Performed</t>
  </si>
  <si>
    <t>Result</t>
  </si>
  <si>
    <t>Performed By</t>
  </si>
  <si>
    <t>DB-001</t>
  </si>
  <si>
    <t>Query Review</t>
  </si>
  <si>
    <t>All identified queries reviewed</t>
  </si>
  <si>
    <t>Outstanding queries reviewed</t>
  </si>
  <si>
    <t>No open queries</t>
  </si>
  <si>
    <t>CDM</t>
  </si>
  <si>
    <t>All representative queries resolved</t>
  </si>
  <si>
    <t>DB-002</t>
  </si>
  <si>
    <t>Data Cleaning</t>
  </si>
  <si>
    <t>Identified discrepancies resolved</t>
  </si>
  <si>
    <t>Data cleaning review completed</t>
  </si>
  <si>
    <t>No unresolved cleaning issues</t>
  </si>
  <si>
    <t>Cleaning activities completed</t>
  </si>
  <si>
    <t>DB-003</t>
  </si>
  <si>
    <t>Medical Coding</t>
  </si>
  <si>
    <t>Coding activities completed</t>
  </si>
  <si>
    <t>Medical history and AE terms reviewed</t>
  </si>
  <si>
    <t>All representative terms coded</t>
  </si>
  <si>
    <t>Simulated coding completed</t>
  </si>
  <si>
    <t>DB-004</t>
  </si>
  <si>
    <t>External Data Reconciliation</t>
  </si>
  <si>
    <t>External data compared with EDC</t>
  </si>
  <si>
    <t>Reconciliation completed</t>
  </si>
  <si>
    <t>Discrepancies investigated and resolved</t>
  </si>
  <si>
    <t>Simulated external data reconciliation completed</t>
  </si>
  <si>
    <t>DB-005</t>
  </si>
  <si>
    <t>Subject data reviewed</t>
  </si>
  <si>
    <t>Final data review completed</t>
  </si>
  <si>
    <t>No outstanding data issues identified</t>
  </si>
  <si>
    <t>Final review completed for representative subjects</t>
  </si>
  <si>
    <t>DB-006</t>
  </si>
  <si>
    <t>Database Freeze</t>
  </si>
  <si>
    <t>All pre-freeze activities completed</t>
  </si>
  <si>
    <t>Database frozen</t>
  </si>
  <si>
    <t>No further routine data entry permitted</t>
  </si>
  <si>
    <t>Simulated database freeze</t>
  </si>
  <si>
    <t>DB-007</t>
  </si>
  <si>
    <t>Database Lock</t>
  </si>
  <si>
    <t>Database freeze completed</t>
  </si>
  <si>
    <t>Database locked</t>
  </si>
  <si>
    <t>Database locked for analysis</t>
  </si>
  <si>
    <t>Simulated database lock; no further data changes permitted without formal authorization</t>
  </si>
  <si>
    <t>Freeze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</si>
</sst>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0" xfId="0" applyFont="1"/>
    <xf numFmtId="0" fontId="0" fillId="0" borderId="1" xfId="0" applyBorder="1" applyAlignment="1">
      <alignment wrapText="1"/>
    </xf>
    <xf numFmtId="0" fontId="1" fillId="0" borderId="1" xfId="0" applyFont="1" applyBorder="1" applyAlignment="1">
      <alignment wrapText="1"/>
    </xf>
    <xf numFmtId="14" fontId="0" fillId="0" borderId="1" xfId="0" applyNumberFormat="1" applyBorder="1"/>
    <xf numFmtId="14" fontId="0" fillId="0" borderId="0" xfId="0" applyNumberFormat="1"/>
    <xf numFmtId="49" fontId="0" fillId="0" borderId="0" xfId="0" applyNumberFormat="1"/>
    <xf numFmtId="2" fontId="0" fillId="0" borderId="1" xfId="0" applyNumberFormat="1" applyBorder="1"/>
    <xf numFmtId="2" fontId="0" fillId="0" borderId="0" xfId="0" applyNumberFormat="1"/>
    <xf numFmtId="49" fontId="0" fillId="0" borderId="1" xfId="0" applyNumberFormat="1" applyBorder="1"/>
    <xf numFmtId="0" fontId="2" fillId="0" borderId="0" xfId="0" applyFont="1"/>
    <xf numFmtId="9" fontId="0" fillId="0" borderId="1" xfId="0" applyNumberFormat="1" applyBorder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tabSelected="1" workbookViewId="0">
      <selection sqref="A1:G1"/>
    </sheetView>
  </sheetViews>
  <sheetFormatPr defaultRowHeight="14.4" x14ac:dyDescent="0.3"/>
  <cols>
    <col min="1" max="1" width="9.6640625" customWidth="1"/>
    <col min="2" max="2" width="33.88671875" customWidth="1"/>
    <col min="3" max="3" width="28.33203125" customWidth="1"/>
    <col min="4" max="4" width="30.6640625" customWidth="1"/>
    <col min="5" max="5" width="16.77734375" customWidth="1"/>
    <col min="6" max="6" width="12.44140625" customWidth="1"/>
    <col min="7" max="7" width="12.21875" customWidth="1"/>
    <col min="8" max="8" width="39" customWidth="1"/>
  </cols>
  <sheetData>
    <row r="1" spans="1:8" ht="17.399999999999999" x14ac:dyDescent="0.3">
      <c r="A1" s="14" t="s">
        <v>58</v>
      </c>
      <c r="B1" s="14"/>
      <c r="C1" s="14"/>
      <c r="D1" s="14"/>
      <c r="E1" s="14"/>
      <c r="F1" s="14"/>
      <c r="G1" s="14"/>
    </row>
    <row r="3" spans="1:8" x14ac:dyDescent="0.3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</row>
    <row r="4" spans="1:8" x14ac:dyDescent="0.3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1" t="s">
        <v>13</v>
      </c>
      <c r="G4" s="1" t="s">
        <v>14</v>
      </c>
      <c r="H4" s="1" t="s">
        <v>15</v>
      </c>
    </row>
    <row r="5" spans="1:8" x14ac:dyDescent="0.3">
      <c r="A5" s="1" t="s">
        <v>16</v>
      </c>
      <c r="B5" s="1" t="s">
        <v>17</v>
      </c>
      <c r="C5" s="1" t="s">
        <v>10</v>
      </c>
      <c r="D5" s="1" t="s">
        <v>17</v>
      </c>
      <c r="E5" s="1" t="s">
        <v>12</v>
      </c>
      <c r="F5" s="1" t="s">
        <v>13</v>
      </c>
      <c r="G5" s="1" t="s">
        <v>14</v>
      </c>
      <c r="H5" s="1" t="s">
        <v>18</v>
      </c>
    </row>
    <row r="6" spans="1:8" x14ac:dyDescent="0.3">
      <c r="A6" s="1" t="s">
        <v>19</v>
      </c>
      <c r="B6" s="1" t="s">
        <v>20</v>
      </c>
      <c r="C6" s="1" t="s">
        <v>10</v>
      </c>
      <c r="D6" s="1" t="s">
        <v>21</v>
      </c>
      <c r="E6" s="1" t="s">
        <v>12</v>
      </c>
      <c r="F6" s="1" t="s">
        <v>13</v>
      </c>
      <c r="G6" s="1" t="s">
        <v>14</v>
      </c>
      <c r="H6" s="1" t="s">
        <v>22</v>
      </c>
    </row>
    <row r="7" spans="1:8" x14ac:dyDescent="0.3">
      <c r="A7" s="1" t="s">
        <v>23</v>
      </c>
      <c r="B7" s="1" t="s">
        <v>24</v>
      </c>
      <c r="C7" s="1" t="s">
        <v>10</v>
      </c>
      <c r="D7" s="1" t="s">
        <v>24</v>
      </c>
      <c r="E7" s="1" t="s">
        <v>25</v>
      </c>
      <c r="F7" s="1" t="s">
        <v>13</v>
      </c>
      <c r="G7" s="1" t="s">
        <v>14</v>
      </c>
      <c r="H7" s="1" t="s">
        <v>26</v>
      </c>
    </row>
    <row r="8" spans="1:8" x14ac:dyDescent="0.3">
      <c r="A8" s="1" t="s">
        <v>27</v>
      </c>
      <c r="B8" s="1" t="s">
        <v>28</v>
      </c>
      <c r="C8" s="1" t="s">
        <v>29</v>
      </c>
      <c r="D8" s="1" t="s">
        <v>30</v>
      </c>
      <c r="E8" s="1" t="s">
        <v>25</v>
      </c>
      <c r="F8" s="1" t="s">
        <v>13</v>
      </c>
      <c r="G8" s="1" t="s">
        <v>14</v>
      </c>
      <c r="H8" s="1" t="s">
        <v>31</v>
      </c>
    </row>
    <row r="9" spans="1:8" x14ac:dyDescent="0.3">
      <c r="A9" s="1" t="s">
        <v>32</v>
      </c>
      <c r="B9" s="1" t="s">
        <v>33</v>
      </c>
      <c r="C9" s="1" t="s">
        <v>34</v>
      </c>
      <c r="D9" s="1" t="s">
        <v>33</v>
      </c>
      <c r="E9" s="1" t="s">
        <v>25</v>
      </c>
      <c r="F9" s="1" t="s">
        <v>13</v>
      </c>
      <c r="G9" s="1" t="s">
        <v>14</v>
      </c>
      <c r="H9" s="1" t="s">
        <v>35</v>
      </c>
    </row>
    <row r="10" spans="1:8" x14ac:dyDescent="0.3">
      <c r="A10" s="1" t="s">
        <v>36</v>
      </c>
      <c r="B10" s="1" t="s">
        <v>37</v>
      </c>
      <c r="C10" s="1" t="s">
        <v>34</v>
      </c>
      <c r="D10" s="1" t="s">
        <v>38</v>
      </c>
      <c r="E10" s="1" t="s">
        <v>25</v>
      </c>
      <c r="F10" s="1" t="s">
        <v>13</v>
      </c>
      <c r="G10" s="1" t="s">
        <v>14</v>
      </c>
      <c r="H10" s="1" t="s">
        <v>39</v>
      </c>
    </row>
    <row r="11" spans="1:8" x14ac:dyDescent="0.3">
      <c r="A11" s="1" t="s">
        <v>40</v>
      </c>
      <c r="B11" s="1" t="s">
        <v>41</v>
      </c>
      <c r="C11" s="1" t="s">
        <v>42</v>
      </c>
      <c r="D11" s="1" t="s">
        <v>43</v>
      </c>
      <c r="E11" s="1" t="s">
        <v>25</v>
      </c>
      <c r="F11" s="1" t="s">
        <v>13</v>
      </c>
      <c r="G11" s="1" t="s">
        <v>14</v>
      </c>
      <c r="H11" s="1" t="s">
        <v>44</v>
      </c>
    </row>
    <row r="12" spans="1:8" x14ac:dyDescent="0.3">
      <c r="A12" s="1" t="s">
        <v>45</v>
      </c>
      <c r="B12" s="1" t="s">
        <v>46</v>
      </c>
      <c r="C12" s="1" t="s">
        <v>47</v>
      </c>
      <c r="D12" s="1" t="s">
        <v>46</v>
      </c>
      <c r="E12" s="1" t="s">
        <v>25</v>
      </c>
      <c r="F12" s="1" t="s">
        <v>13</v>
      </c>
      <c r="G12" s="1" t="s">
        <v>14</v>
      </c>
      <c r="H12" s="1" t="s">
        <v>48</v>
      </c>
    </row>
    <row r="13" spans="1:8" x14ac:dyDescent="0.3">
      <c r="A13" s="1" t="s">
        <v>49</v>
      </c>
      <c r="B13" s="1" t="s">
        <v>50</v>
      </c>
      <c r="C13" s="1" t="s">
        <v>47</v>
      </c>
      <c r="D13" s="1" t="s">
        <v>51</v>
      </c>
      <c r="E13" s="1" t="s">
        <v>25</v>
      </c>
      <c r="F13" s="1" t="s">
        <v>13</v>
      </c>
      <c r="G13" s="1" t="s">
        <v>14</v>
      </c>
      <c r="H13" s="1" t="s">
        <v>52</v>
      </c>
    </row>
    <row r="14" spans="1:8" x14ac:dyDescent="0.3">
      <c r="A14" s="1" t="s">
        <v>53</v>
      </c>
      <c r="B14" s="1" t="s">
        <v>54</v>
      </c>
      <c r="C14" s="1" t="s">
        <v>55</v>
      </c>
      <c r="D14" s="1" t="s">
        <v>56</v>
      </c>
      <c r="E14" s="1" t="s">
        <v>12</v>
      </c>
      <c r="F14" s="1" t="s">
        <v>13</v>
      </c>
      <c r="G14" s="1" t="s">
        <v>14</v>
      </c>
      <c r="H14" s="1" t="s">
        <v>57</v>
      </c>
    </row>
  </sheetData>
  <mergeCells count="1">
    <mergeCell ref="A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3"/>
  <sheetViews>
    <sheetView zoomScale="82" workbookViewId="0">
      <selection activeCell="C17" sqref="C17"/>
    </sheetView>
  </sheetViews>
  <sheetFormatPr defaultRowHeight="14.4" x14ac:dyDescent="0.3"/>
  <cols>
    <col min="1" max="1" width="13.6640625" customWidth="1"/>
    <col min="2" max="2" width="9.88671875" customWidth="1"/>
    <col min="3" max="3" width="36.44140625" customWidth="1"/>
    <col min="4" max="4" width="53" customWidth="1"/>
    <col min="5" max="5" width="13.6640625" customWidth="1"/>
    <col min="6" max="6" width="31.77734375" customWidth="1"/>
    <col min="7" max="7" width="25.88671875" customWidth="1"/>
    <col min="9" max="9" width="11.5546875" customWidth="1"/>
    <col min="11" max="11" width="10.44140625" customWidth="1"/>
  </cols>
  <sheetData>
    <row r="1" spans="1:11" ht="17.399999999999999" x14ac:dyDescent="0.3">
      <c r="A1" s="14" t="s">
        <v>222</v>
      </c>
      <c r="B1" s="14"/>
      <c r="C1" s="14"/>
      <c r="D1" s="14"/>
      <c r="E1" s="14"/>
      <c r="F1" s="14"/>
      <c r="G1" s="14"/>
    </row>
    <row r="3" spans="1:11" ht="43.2" x14ac:dyDescent="0.3">
      <c r="A3" s="2" t="s">
        <v>59</v>
      </c>
      <c r="B3" s="2" t="s">
        <v>0</v>
      </c>
      <c r="C3" s="2" t="s">
        <v>60</v>
      </c>
      <c r="D3" s="2" t="s">
        <v>61</v>
      </c>
      <c r="E3" s="2" t="s">
        <v>62</v>
      </c>
      <c r="F3" s="2" t="s">
        <v>63</v>
      </c>
      <c r="G3" s="2" t="s">
        <v>64</v>
      </c>
      <c r="H3" s="5" t="s">
        <v>65</v>
      </c>
      <c r="I3" s="5" t="s">
        <v>66</v>
      </c>
      <c r="J3" s="2" t="s">
        <v>67</v>
      </c>
      <c r="K3" s="2" t="s">
        <v>6</v>
      </c>
    </row>
    <row r="4" spans="1:11" x14ac:dyDescent="0.3">
      <c r="A4" s="1" t="s">
        <v>68</v>
      </c>
      <c r="B4" s="1" t="s">
        <v>8</v>
      </c>
      <c r="C4" s="1" t="s">
        <v>69</v>
      </c>
      <c r="D4" s="1" t="s">
        <v>70</v>
      </c>
      <c r="E4" s="1" t="s">
        <v>71</v>
      </c>
      <c r="F4" s="1" t="s">
        <v>72</v>
      </c>
      <c r="G4" s="1" t="s">
        <v>73</v>
      </c>
      <c r="H4" s="1" t="s">
        <v>74</v>
      </c>
      <c r="I4" s="1" t="s">
        <v>25</v>
      </c>
      <c r="J4" s="1" t="s">
        <v>75</v>
      </c>
      <c r="K4" s="1" t="s">
        <v>14</v>
      </c>
    </row>
    <row r="5" spans="1:11" x14ac:dyDescent="0.3">
      <c r="A5" s="1" t="s">
        <v>76</v>
      </c>
      <c r="B5" s="1" t="s">
        <v>8</v>
      </c>
      <c r="C5" s="1" t="s">
        <v>69</v>
      </c>
      <c r="D5" s="1" t="s">
        <v>77</v>
      </c>
      <c r="E5" s="1" t="s">
        <v>78</v>
      </c>
      <c r="F5" s="1" t="s">
        <v>79</v>
      </c>
      <c r="G5" s="1" t="s">
        <v>80</v>
      </c>
      <c r="H5" s="1" t="s">
        <v>74</v>
      </c>
      <c r="I5" s="1" t="s">
        <v>25</v>
      </c>
      <c r="J5" s="1" t="s">
        <v>75</v>
      </c>
      <c r="K5" s="1" t="s">
        <v>14</v>
      </c>
    </row>
    <row r="6" spans="1:11" x14ac:dyDescent="0.3">
      <c r="A6" s="1" t="s">
        <v>81</v>
      </c>
      <c r="B6" s="1" t="s">
        <v>8</v>
      </c>
      <c r="C6" s="1" t="s">
        <v>82</v>
      </c>
      <c r="D6" s="1" t="s">
        <v>83</v>
      </c>
      <c r="E6" s="1" t="s">
        <v>84</v>
      </c>
      <c r="F6" s="1" t="s">
        <v>85</v>
      </c>
      <c r="G6" s="1" t="s">
        <v>86</v>
      </c>
      <c r="H6" s="1" t="s">
        <v>74</v>
      </c>
      <c r="I6" s="1" t="s">
        <v>25</v>
      </c>
      <c r="J6" s="1" t="s">
        <v>87</v>
      </c>
      <c r="K6" s="1" t="s">
        <v>14</v>
      </c>
    </row>
    <row r="7" spans="1:11" x14ac:dyDescent="0.3">
      <c r="A7" s="1" t="s">
        <v>88</v>
      </c>
      <c r="B7" s="1" t="s">
        <v>8</v>
      </c>
      <c r="C7" s="1" t="s">
        <v>89</v>
      </c>
      <c r="D7" s="1" t="s">
        <v>90</v>
      </c>
      <c r="E7" s="1" t="s">
        <v>91</v>
      </c>
      <c r="F7" s="1" t="s">
        <v>92</v>
      </c>
      <c r="G7" s="1" t="s">
        <v>93</v>
      </c>
      <c r="H7" s="1" t="s">
        <v>74</v>
      </c>
      <c r="I7" s="1" t="s">
        <v>25</v>
      </c>
      <c r="J7" s="1" t="s">
        <v>75</v>
      </c>
      <c r="K7" s="1" t="s">
        <v>14</v>
      </c>
    </row>
    <row r="8" spans="1:11" ht="28.8" x14ac:dyDescent="0.3">
      <c r="A8" s="1" t="s">
        <v>94</v>
      </c>
      <c r="B8" s="1" t="s">
        <v>8</v>
      </c>
      <c r="C8" s="1" t="s">
        <v>95</v>
      </c>
      <c r="D8" s="1" t="s">
        <v>96</v>
      </c>
      <c r="E8" s="4" t="s">
        <v>97</v>
      </c>
      <c r="F8" s="1" t="s">
        <v>98</v>
      </c>
      <c r="G8" s="1" t="s">
        <v>99</v>
      </c>
      <c r="H8" s="1" t="s">
        <v>74</v>
      </c>
      <c r="I8" s="1" t="s">
        <v>25</v>
      </c>
      <c r="J8" s="1" t="s">
        <v>87</v>
      </c>
      <c r="K8" s="1" t="s">
        <v>14</v>
      </c>
    </row>
    <row r="9" spans="1:11" x14ac:dyDescent="0.3">
      <c r="A9" s="1" t="s">
        <v>100</v>
      </c>
      <c r="B9" s="1" t="s">
        <v>16</v>
      </c>
      <c r="C9" s="1" t="s">
        <v>101</v>
      </c>
      <c r="D9" s="1" t="s">
        <v>102</v>
      </c>
      <c r="E9" s="1" t="s">
        <v>78</v>
      </c>
      <c r="F9" s="1" t="s">
        <v>103</v>
      </c>
      <c r="G9" s="1" t="s">
        <v>104</v>
      </c>
      <c r="H9" s="1" t="s">
        <v>74</v>
      </c>
      <c r="I9" s="1" t="s">
        <v>25</v>
      </c>
      <c r="J9" s="1" t="s">
        <v>75</v>
      </c>
      <c r="K9" s="1" t="s">
        <v>14</v>
      </c>
    </row>
    <row r="10" spans="1:11" x14ac:dyDescent="0.3">
      <c r="A10" s="1" t="s">
        <v>105</v>
      </c>
      <c r="B10" s="1" t="s">
        <v>16</v>
      </c>
      <c r="C10" s="1" t="s">
        <v>106</v>
      </c>
      <c r="D10" s="1" t="s">
        <v>107</v>
      </c>
      <c r="E10" s="1" t="s">
        <v>78</v>
      </c>
      <c r="F10" s="1" t="s">
        <v>108</v>
      </c>
      <c r="G10" s="1" t="s">
        <v>109</v>
      </c>
      <c r="H10" s="1" t="s">
        <v>74</v>
      </c>
      <c r="I10" s="1" t="s">
        <v>25</v>
      </c>
      <c r="J10" s="1" t="s">
        <v>75</v>
      </c>
      <c r="K10" s="1" t="s">
        <v>14</v>
      </c>
    </row>
    <row r="11" spans="1:11" x14ac:dyDescent="0.3">
      <c r="A11" s="1" t="s">
        <v>110</v>
      </c>
      <c r="B11" s="1" t="s">
        <v>16</v>
      </c>
      <c r="C11" s="1" t="s">
        <v>111</v>
      </c>
      <c r="D11" s="1" t="s">
        <v>112</v>
      </c>
      <c r="E11" s="1" t="s">
        <v>113</v>
      </c>
      <c r="F11" s="1" t="s">
        <v>114</v>
      </c>
      <c r="G11" s="1" t="s">
        <v>115</v>
      </c>
      <c r="H11" s="1" t="s">
        <v>74</v>
      </c>
      <c r="I11" s="1" t="s">
        <v>25</v>
      </c>
      <c r="J11" s="1" t="s">
        <v>75</v>
      </c>
      <c r="K11" s="1" t="s">
        <v>14</v>
      </c>
    </row>
    <row r="12" spans="1:11" x14ac:dyDescent="0.3">
      <c r="A12" s="1" t="s">
        <v>116</v>
      </c>
      <c r="B12" s="1" t="s">
        <v>19</v>
      </c>
      <c r="C12" s="1" t="s">
        <v>117</v>
      </c>
      <c r="D12" s="1" t="s">
        <v>118</v>
      </c>
      <c r="E12" s="1" t="s">
        <v>21</v>
      </c>
      <c r="F12" s="1" t="s">
        <v>119</v>
      </c>
      <c r="G12" s="1" t="s">
        <v>120</v>
      </c>
      <c r="H12" s="1" t="s">
        <v>74</v>
      </c>
      <c r="I12" s="1" t="s">
        <v>25</v>
      </c>
      <c r="J12" s="1" t="s">
        <v>75</v>
      </c>
      <c r="K12" s="1" t="s">
        <v>14</v>
      </c>
    </row>
    <row r="13" spans="1:11" x14ac:dyDescent="0.3">
      <c r="A13" s="1" t="s">
        <v>121</v>
      </c>
      <c r="B13" s="1" t="s">
        <v>19</v>
      </c>
      <c r="C13" s="1" t="s">
        <v>122</v>
      </c>
      <c r="D13" s="1" t="s">
        <v>123</v>
      </c>
      <c r="E13" s="1" t="s">
        <v>21</v>
      </c>
      <c r="F13" s="1" t="s">
        <v>124</v>
      </c>
      <c r="G13" s="1" t="s">
        <v>125</v>
      </c>
      <c r="H13" s="1" t="s">
        <v>74</v>
      </c>
      <c r="I13" s="1" t="s">
        <v>25</v>
      </c>
      <c r="J13" s="1" t="s">
        <v>75</v>
      </c>
      <c r="K13" s="1" t="s">
        <v>14</v>
      </c>
    </row>
    <row r="14" spans="1:11" x14ac:dyDescent="0.3">
      <c r="A14" s="1" t="s">
        <v>126</v>
      </c>
      <c r="B14" s="1" t="s">
        <v>19</v>
      </c>
      <c r="C14" s="1" t="s">
        <v>127</v>
      </c>
      <c r="D14" s="1" t="s">
        <v>128</v>
      </c>
      <c r="E14" s="1" t="s">
        <v>113</v>
      </c>
      <c r="F14" s="1" t="s">
        <v>129</v>
      </c>
      <c r="G14" s="1" t="s">
        <v>130</v>
      </c>
      <c r="H14" s="1" t="s">
        <v>74</v>
      </c>
      <c r="I14" s="1" t="s">
        <v>25</v>
      </c>
      <c r="J14" s="1" t="s">
        <v>75</v>
      </c>
      <c r="K14" s="1" t="s">
        <v>14</v>
      </c>
    </row>
    <row r="15" spans="1:11" ht="28.8" x14ac:dyDescent="0.3">
      <c r="A15" s="1" t="s">
        <v>131</v>
      </c>
      <c r="B15" s="1" t="s">
        <v>23</v>
      </c>
      <c r="C15" s="4" t="s">
        <v>132</v>
      </c>
      <c r="D15" s="1" t="s">
        <v>133</v>
      </c>
      <c r="E15" s="1" t="s">
        <v>113</v>
      </c>
      <c r="F15" s="1" t="s">
        <v>134</v>
      </c>
      <c r="G15" s="1" t="s">
        <v>135</v>
      </c>
      <c r="H15" s="1" t="s">
        <v>74</v>
      </c>
      <c r="I15" s="1" t="s">
        <v>25</v>
      </c>
      <c r="J15" s="1" t="s">
        <v>87</v>
      </c>
      <c r="K15" s="1" t="s">
        <v>14</v>
      </c>
    </row>
    <row r="16" spans="1:11" x14ac:dyDescent="0.3">
      <c r="A16" s="1" t="s">
        <v>136</v>
      </c>
      <c r="B16" s="1" t="s">
        <v>27</v>
      </c>
      <c r="C16" s="1" t="s">
        <v>137</v>
      </c>
      <c r="D16" s="1" t="s">
        <v>138</v>
      </c>
      <c r="E16" s="1" t="s">
        <v>78</v>
      </c>
      <c r="F16" s="1" t="s">
        <v>139</v>
      </c>
      <c r="G16" s="1" t="s">
        <v>140</v>
      </c>
      <c r="H16" s="1" t="s">
        <v>74</v>
      </c>
      <c r="I16" s="1" t="s">
        <v>25</v>
      </c>
      <c r="J16" s="1" t="s">
        <v>87</v>
      </c>
      <c r="K16" s="1" t="s">
        <v>14</v>
      </c>
    </row>
    <row r="17" spans="1:11" ht="28.8" x14ac:dyDescent="0.3">
      <c r="A17" s="1" t="s">
        <v>141</v>
      </c>
      <c r="B17" s="1" t="s">
        <v>27</v>
      </c>
      <c r="C17" s="1" t="s">
        <v>142</v>
      </c>
      <c r="D17" s="4" t="s">
        <v>143</v>
      </c>
      <c r="E17" s="1" t="s">
        <v>113</v>
      </c>
      <c r="F17" s="1" t="s">
        <v>144</v>
      </c>
      <c r="G17" s="1" t="s">
        <v>145</v>
      </c>
      <c r="H17" s="1" t="s">
        <v>74</v>
      </c>
      <c r="I17" s="1" t="s">
        <v>25</v>
      </c>
      <c r="J17" s="1" t="s">
        <v>87</v>
      </c>
      <c r="K17" s="1" t="s">
        <v>14</v>
      </c>
    </row>
    <row r="18" spans="1:11" x14ac:dyDescent="0.3">
      <c r="A18" s="1" t="s">
        <v>146</v>
      </c>
      <c r="B18" s="1" t="s">
        <v>32</v>
      </c>
      <c r="C18" s="1" t="s">
        <v>147</v>
      </c>
      <c r="D18" s="1" t="s">
        <v>148</v>
      </c>
      <c r="E18" s="1" t="s">
        <v>91</v>
      </c>
      <c r="F18" s="1" t="s">
        <v>149</v>
      </c>
      <c r="G18" s="1" t="s">
        <v>150</v>
      </c>
      <c r="H18" s="1" t="s">
        <v>74</v>
      </c>
      <c r="I18" s="1" t="s">
        <v>25</v>
      </c>
      <c r="J18" s="1" t="s">
        <v>87</v>
      </c>
      <c r="K18" s="1" t="s">
        <v>14</v>
      </c>
    </row>
    <row r="19" spans="1:11" x14ac:dyDescent="0.3">
      <c r="A19" s="1" t="s">
        <v>151</v>
      </c>
      <c r="B19" s="1" t="s">
        <v>32</v>
      </c>
      <c r="C19" s="1" t="s">
        <v>152</v>
      </c>
      <c r="D19" s="1" t="s">
        <v>153</v>
      </c>
      <c r="E19" s="1" t="s">
        <v>91</v>
      </c>
      <c r="F19" s="1" t="s">
        <v>154</v>
      </c>
      <c r="G19" s="1" t="s">
        <v>150</v>
      </c>
      <c r="H19" s="1" t="s">
        <v>74</v>
      </c>
      <c r="I19" s="1" t="s">
        <v>25</v>
      </c>
      <c r="J19" s="1" t="s">
        <v>87</v>
      </c>
      <c r="K19" s="1" t="s">
        <v>14</v>
      </c>
    </row>
    <row r="20" spans="1:11" x14ac:dyDescent="0.3">
      <c r="A20" s="1" t="s">
        <v>155</v>
      </c>
      <c r="B20" s="1" t="s">
        <v>32</v>
      </c>
      <c r="C20" s="1" t="s">
        <v>156</v>
      </c>
      <c r="D20" s="1" t="s">
        <v>157</v>
      </c>
      <c r="E20" s="1" t="s">
        <v>113</v>
      </c>
      <c r="F20" s="1" t="s">
        <v>158</v>
      </c>
      <c r="G20" s="1" t="s">
        <v>159</v>
      </c>
      <c r="H20" s="1" t="s">
        <v>74</v>
      </c>
      <c r="I20" s="1" t="s">
        <v>25</v>
      </c>
      <c r="J20" s="1" t="s">
        <v>75</v>
      </c>
      <c r="K20" s="1" t="s">
        <v>14</v>
      </c>
    </row>
    <row r="21" spans="1:11" x14ac:dyDescent="0.3">
      <c r="A21" s="1" t="s">
        <v>160</v>
      </c>
      <c r="B21" s="1" t="s">
        <v>32</v>
      </c>
      <c r="C21" s="1" t="s">
        <v>161</v>
      </c>
      <c r="D21" s="1" t="s">
        <v>162</v>
      </c>
      <c r="E21" s="1" t="s">
        <v>84</v>
      </c>
      <c r="F21" s="1" t="s">
        <v>163</v>
      </c>
      <c r="G21" s="1" t="s">
        <v>164</v>
      </c>
      <c r="H21" s="1" t="s">
        <v>74</v>
      </c>
      <c r="I21" s="1" t="s">
        <v>25</v>
      </c>
      <c r="J21" s="1" t="s">
        <v>75</v>
      </c>
      <c r="K21" s="1" t="s">
        <v>14</v>
      </c>
    </row>
    <row r="22" spans="1:11" x14ac:dyDescent="0.3">
      <c r="A22" s="1" t="s">
        <v>165</v>
      </c>
      <c r="B22" s="1" t="s">
        <v>36</v>
      </c>
      <c r="C22" s="1" t="s">
        <v>166</v>
      </c>
      <c r="D22" s="1" t="s">
        <v>167</v>
      </c>
      <c r="E22" s="1" t="s">
        <v>91</v>
      </c>
      <c r="F22" s="1" t="s">
        <v>168</v>
      </c>
      <c r="G22" s="1" t="s">
        <v>150</v>
      </c>
      <c r="H22" s="1" t="s">
        <v>74</v>
      </c>
      <c r="I22" s="1" t="s">
        <v>25</v>
      </c>
      <c r="J22" s="1" t="s">
        <v>87</v>
      </c>
      <c r="K22" s="1" t="s">
        <v>14</v>
      </c>
    </row>
    <row r="23" spans="1:11" x14ac:dyDescent="0.3">
      <c r="A23" s="1" t="s">
        <v>169</v>
      </c>
      <c r="B23" s="1" t="s">
        <v>36</v>
      </c>
      <c r="C23" s="1" t="s">
        <v>170</v>
      </c>
      <c r="D23" s="1" t="s">
        <v>171</v>
      </c>
      <c r="E23" s="1" t="s">
        <v>78</v>
      </c>
      <c r="F23" s="1" t="s">
        <v>172</v>
      </c>
      <c r="G23" s="1" t="s">
        <v>173</v>
      </c>
      <c r="H23" s="1" t="s">
        <v>74</v>
      </c>
      <c r="I23" s="1" t="s">
        <v>25</v>
      </c>
      <c r="J23" s="1" t="s">
        <v>87</v>
      </c>
      <c r="K23" s="1" t="s">
        <v>14</v>
      </c>
    </row>
    <row r="24" spans="1:11" x14ac:dyDescent="0.3">
      <c r="A24" s="1" t="s">
        <v>174</v>
      </c>
      <c r="B24" s="1" t="s">
        <v>36</v>
      </c>
      <c r="C24" s="1" t="s">
        <v>175</v>
      </c>
      <c r="D24" s="1" t="s">
        <v>176</v>
      </c>
      <c r="E24" s="1" t="s">
        <v>91</v>
      </c>
      <c r="F24" s="1" t="s">
        <v>177</v>
      </c>
      <c r="G24" s="1" t="s">
        <v>150</v>
      </c>
      <c r="H24" s="1" t="s">
        <v>74</v>
      </c>
      <c r="I24" s="1" t="s">
        <v>25</v>
      </c>
      <c r="J24" s="1" t="s">
        <v>87</v>
      </c>
      <c r="K24" s="1" t="s">
        <v>14</v>
      </c>
    </row>
    <row r="25" spans="1:11" x14ac:dyDescent="0.3">
      <c r="A25" s="1" t="s">
        <v>178</v>
      </c>
      <c r="B25" s="1" t="s">
        <v>40</v>
      </c>
      <c r="C25" s="1" t="s">
        <v>41</v>
      </c>
      <c r="D25" s="1" t="s">
        <v>179</v>
      </c>
      <c r="E25" s="1" t="s">
        <v>78</v>
      </c>
      <c r="F25" s="1" t="s">
        <v>180</v>
      </c>
      <c r="G25" s="1" t="s">
        <v>181</v>
      </c>
      <c r="H25" s="1" t="s">
        <v>74</v>
      </c>
      <c r="I25" s="1" t="s">
        <v>25</v>
      </c>
      <c r="J25" s="1" t="s">
        <v>75</v>
      </c>
      <c r="K25" s="1" t="s">
        <v>14</v>
      </c>
    </row>
    <row r="26" spans="1:11" x14ac:dyDescent="0.3">
      <c r="A26" s="1" t="s">
        <v>182</v>
      </c>
      <c r="B26" s="1" t="s">
        <v>40</v>
      </c>
      <c r="C26" s="1" t="s">
        <v>183</v>
      </c>
      <c r="D26" s="1" t="s">
        <v>184</v>
      </c>
      <c r="E26" s="1" t="s">
        <v>84</v>
      </c>
      <c r="F26" s="1" t="s">
        <v>185</v>
      </c>
      <c r="G26" s="1" t="s">
        <v>186</v>
      </c>
      <c r="H26" s="1" t="s">
        <v>74</v>
      </c>
      <c r="I26" s="1" t="s">
        <v>25</v>
      </c>
      <c r="J26" s="1" t="s">
        <v>87</v>
      </c>
      <c r="K26" s="1" t="s">
        <v>14</v>
      </c>
    </row>
    <row r="27" spans="1:11" x14ac:dyDescent="0.3">
      <c r="A27" s="1" t="s">
        <v>187</v>
      </c>
      <c r="B27" s="1" t="s">
        <v>45</v>
      </c>
      <c r="C27" s="1" t="s">
        <v>188</v>
      </c>
      <c r="D27" s="1" t="s">
        <v>189</v>
      </c>
      <c r="E27" s="1" t="s">
        <v>113</v>
      </c>
      <c r="F27" s="1" t="s">
        <v>190</v>
      </c>
      <c r="G27" s="1" t="s">
        <v>191</v>
      </c>
      <c r="H27" s="1" t="s">
        <v>74</v>
      </c>
      <c r="I27" s="1" t="s">
        <v>25</v>
      </c>
      <c r="J27" s="1" t="s">
        <v>75</v>
      </c>
      <c r="K27" s="1" t="s">
        <v>14</v>
      </c>
    </row>
    <row r="28" spans="1:11" x14ac:dyDescent="0.3">
      <c r="A28" s="1" t="s">
        <v>192</v>
      </c>
      <c r="B28" s="1" t="s">
        <v>45</v>
      </c>
      <c r="C28" s="1" t="s">
        <v>193</v>
      </c>
      <c r="D28" s="1" t="s">
        <v>194</v>
      </c>
      <c r="E28" s="1" t="s">
        <v>84</v>
      </c>
      <c r="F28" s="1" t="s">
        <v>195</v>
      </c>
      <c r="G28" s="1" t="s">
        <v>196</v>
      </c>
      <c r="H28" s="1" t="s">
        <v>74</v>
      </c>
      <c r="I28" s="1" t="s">
        <v>25</v>
      </c>
      <c r="J28" s="1" t="s">
        <v>75</v>
      </c>
      <c r="K28" s="1" t="s">
        <v>14</v>
      </c>
    </row>
    <row r="29" spans="1:11" x14ac:dyDescent="0.3">
      <c r="A29" s="1" t="s">
        <v>197</v>
      </c>
      <c r="B29" s="1" t="s">
        <v>45</v>
      </c>
      <c r="C29" s="1" t="s">
        <v>198</v>
      </c>
      <c r="D29" s="1" t="s">
        <v>199</v>
      </c>
      <c r="E29" s="1" t="s">
        <v>113</v>
      </c>
      <c r="F29" s="1" t="s">
        <v>200</v>
      </c>
      <c r="G29" s="1" t="s">
        <v>201</v>
      </c>
      <c r="H29" s="1" t="s">
        <v>74</v>
      </c>
      <c r="I29" s="1" t="s">
        <v>25</v>
      </c>
      <c r="J29" s="1" t="s">
        <v>87</v>
      </c>
      <c r="K29" s="1" t="s">
        <v>14</v>
      </c>
    </row>
    <row r="30" spans="1:11" x14ac:dyDescent="0.3">
      <c r="A30" s="1" t="s">
        <v>202</v>
      </c>
      <c r="B30" s="1" t="s">
        <v>49</v>
      </c>
      <c r="C30" s="1" t="s">
        <v>203</v>
      </c>
      <c r="D30" s="1" t="s">
        <v>204</v>
      </c>
      <c r="E30" s="1" t="s">
        <v>84</v>
      </c>
      <c r="F30" s="1" t="s">
        <v>205</v>
      </c>
      <c r="G30" s="1" t="s">
        <v>206</v>
      </c>
      <c r="H30" s="1" t="s">
        <v>74</v>
      </c>
      <c r="I30" s="1" t="s">
        <v>25</v>
      </c>
      <c r="J30" s="1" t="s">
        <v>75</v>
      </c>
      <c r="K30" s="1" t="s">
        <v>14</v>
      </c>
    </row>
    <row r="31" spans="1:11" x14ac:dyDescent="0.3">
      <c r="A31" s="1" t="s">
        <v>207</v>
      </c>
      <c r="B31" s="1" t="s">
        <v>49</v>
      </c>
      <c r="C31" s="1" t="s">
        <v>208</v>
      </c>
      <c r="D31" s="1" t="s">
        <v>209</v>
      </c>
      <c r="E31" s="1" t="s">
        <v>78</v>
      </c>
      <c r="F31" s="1" t="s">
        <v>210</v>
      </c>
      <c r="G31" s="1" t="s">
        <v>211</v>
      </c>
      <c r="H31" s="1" t="s">
        <v>74</v>
      </c>
      <c r="I31" s="1" t="s">
        <v>25</v>
      </c>
      <c r="J31" s="1" t="s">
        <v>87</v>
      </c>
      <c r="K31" s="1" t="s">
        <v>14</v>
      </c>
    </row>
    <row r="32" spans="1:11" x14ac:dyDescent="0.3">
      <c r="A32" s="1" t="s">
        <v>212</v>
      </c>
      <c r="B32" s="1" t="s">
        <v>49</v>
      </c>
      <c r="C32" s="1" t="s">
        <v>213</v>
      </c>
      <c r="D32" s="1" t="s">
        <v>214</v>
      </c>
      <c r="E32" s="1" t="s">
        <v>91</v>
      </c>
      <c r="F32" s="1" t="s">
        <v>215</v>
      </c>
      <c r="G32" s="1" t="s">
        <v>216</v>
      </c>
      <c r="H32" s="1" t="s">
        <v>74</v>
      </c>
      <c r="I32" s="1" t="s">
        <v>25</v>
      </c>
      <c r="J32" s="1" t="s">
        <v>87</v>
      </c>
      <c r="K32" s="1" t="s">
        <v>14</v>
      </c>
    </row>
    <row r="33" spans="1:11" x14ac:dyDescent="0.3">
      <c r="A33" s="1" t="s">
        <v>217</v>
      </c>
      <c r="B33" s="1" t="s">
        <v>53</v>
      </c>
      <c r="C33" s="1" t="s">
        <v>218</v>
      </c>
      <c r="D33" s="1" t="s">
        <v>219</v>
      </c>
      <c r="E33" s="1" t="s">
        <v>84</v>
      </c>
      <c r="F33" s="1" t="s">
        <v>220</v>
      </c>
      <c r="G33" s="1" t="s">
        <v>221</v>
      </c>
      <c r="H33" s="1" t="s">
        <v>74</v>
      </c>
      <c r="I33" s="1" t="s">
        <v>25</v>
      </c>
      <c r="J33" s="1" t="s">
        <v>75</v>
      </c>
      <c r="K33" s="1" t="s">
        <v>14</v>
      </c>
    </row>
  </sheetData>
  <mergeCells count="1"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3"/>
  <sheetViews>
    <sheetView workbookViewId="0">
      <selection sqref="A1:H1"/>
    </sheetView>
  </sheetViews>
  <sheetFormatPr defaultRowHeight="14.4" x14ac:dyDescent="0.3"/>
  <cols>
    <col min="1" max="1" width="11.88671875" customWidth="1"/>
    <col min="2" max="2" width="13.109375" customWidth="1"/>
    <col min="3" max="3" width="31.44140625" customWidth="1"/>
    <col min="4" max="4" width="30.21875" customWidth="1"/>
    <col min="5" max="5" width="52.44140625" customWidth="1"/>
    <col min="6" max="6" width="35.88671875" customWidth="1"/>
    <col min="7" max="7" width="32" customWidth="1"/>
    <col min="8" max="8" width="38.77734375" customWidth="1"/>
    <col min="9" max="9" width="29.44140625" customWidth="1"/>
  </cols>
  <sheetData>
    <row r="1" spans="1:10" ht="17.399999999999999" x14ac:dyDescent="0.3">
      <c r="A1" s="14" t="s">
        <v>361</v>
      </c>
      <c r="B1" s="14"/>
      <c r="C1" s="14"/>
      <c r="D1" s="14"/>
      <c r="E1" s="14"/>
      <c r="F1" s="14"/>
      <c r="G1" s="14"/>
      <c r="H1" s="14"/>
      <c r="I1" s="12"/>
    </row>
    <row r="3" spans="1:10" x14ac:dyDescent="0.3">
      <c r="A3" s="2" t="s">
        <v>359</v>
      </c>
      <c r="B3" s="2" t="s">
        <v>360</v>
      </c>
      <c r="C3" s="2" t="s">
        <v>397</v>
      </c>
      <c r="D3" s="2" t="s">
        <v>398</v>
      </c>
      <c r="E3" s="2" t="s">
        <v>362</v>
      </c>
      <c r="F3" s="2" t="s">
        <v>399</v>
      </c>
      <c r="G3" s="2" t="s">
        <v>400</v>
      </c>
      <c r="H3" s="5" t="s">
        <v>401</v>
      </c>
      <c r="I3" s="3"/>
      <c r="J3" s="3"/>
    </row>
    <row r="4" spans="1:10" x14ac:dyDescent="0.3">
      <c r="A4" s="1" t="s">
        <v>349</v>
      </c>
      <c r="B4" s="1" t="s">
        <v>68</v>
      </c>
      <c r="C4" s="1" t="s">
        <v>227</v>
      </c>
      <c r="D4" s="1" t="s">
        <v>227</v>
      </c>
      <c r="E4" s="1" t="s">
        <v>70</v>
      </c>
      <c r="F4" s="1" t="str">
        <f>IF(C4=D4,"ERROR:Duplicate Subject ID","PASS")</f>
        <v>ERROR:Duplicate Subject ID</v>
      </c>
      <c r="G4" s="1" t="s">
        <v>227</v>
      </c>
      <c r="H4" s="1" t="str">
        <f>IF(C4=G4,"PASS","ERROR: Duplicate Subject ID")</f>
        <v>PASS</v>
      </c>
    </row>
    <row r="5" spans="1:10" x14ac:dyDescent="0.3">
      <c r="A5" s="1" t="s">
        <v>350</v>
      </c>
      <c r="B5" s="1" t="s">
        <v>76</v>
      </c>
      <c r="C5" s="1"/>
      <c r="D5" s="1"/>
      <c r="E5" s="1" t="s">
        <v>79</v>
      </c>
      <c r="F5" s="1" t="str">
        <f>IF(C5="","ERROR:Subject ID is missing","PASS")</f>
        <v>ERROR:Subject ID is missing</v>
      </c>
      <c r="G5" s="1" t="s">
        <v>233</v>
      </c>
      <c r="H5" s="1" t="str">
        <f>IF(G5&lt;&gt;"","PASS","ERROR: Subject ID missing")</f>
        <v>PASS</v>
      </c>
    </row>
    <row r="6" spans="1:10" x14ac:dyDescent="0.3">
      <c r="A6" s="1" t="s">
        <v>351</v>
      </c>
      <c r="B6" s="1" t="s">
        <v>81</v>
      </c>
      <c r="C6" s="6" t="s">
        <v>451</v>
      </c>
      <c r="D6" s="1"/>
      <c r="E6" s="1" t="s">
        <v>402</v>
      </c>
      <c r="F6" s="1" t="str">
        <f ca="1">IF(C6&gt;TODAY(),"ERROR: Future DOB","PASS")</f>
        <v>ERROR: Future DOB</v>
      </c>
      <c r="G6" s="6">
        <v>42134</v>
      </c>
      <c r="H6" s="1" t="str">
        <f ca="1">IF(G6&lt;=TODAY(),"PASS","ERROR: Future DOB")</f>
        <v>PASS</v>
      </c>
    </row>
    <row r="7" spans="1:10" x14ac:dyDescent="0.3">
      <c r="A7" s="1" t="s">
        <v>352</v>
      </c>
      <c r="B7" s="1" t="s">
        <v>88</v>
      </c>
      <c r="C7" s="1" t="s">
        <v>449</v>
      </c>
      <c r="D7" s="1"/>
      <c r="E7" s="1" t="s">
        <v>403</v>
      </c>
      <c r="F7" s="1" t="str">
        <f>IF(OR(C7&lt;18,C7&gt;75),"ERROR:Age outside 18-75","PASS")</f>
        <v>ERROR:Age outside 18-75</v>
      </c>
      <c r="G7" s="1">
        <v>33</v>
      </c>
      <c r="H7" s="1" t="str">
        <f>IF(AND(G7&gt;=18,G7&lt;=75),"PASS","ERROR: Age outside 18-75")</f>
        <v>PASS</v>
      </c>
    </row>
    <row r="8" spans="1:10" x14ac:dyDescent="0.3">
      <c r="A8" s="1" t="s">
        <v>353</v>
      </c>
      <c r="B8" s="1" t="s">
        <v>94</v>
      </c>
      <c r="C8" s="1" t="s">
        <v>450</v>
      </c>
      <c r="D8" s="1"/>
      <c r="E8" s="4" t="s">
        <v>98</v>
      </c>
      <c r="F8" s="1" t="str">
        <f>IF(OR(C8="Male",C8="Female"),"PASS","ERROR: Invalid Sex")</f>
        <v>ERROR: Invalid Sex</v>
      </c>
      <c r="G8" s="1" t="s">
        <v>230</v>
      </c>
      <c r="H8" s="1" t="str">
        <f>IF(OR(G8="Male",G8="Female"),"PASS","ERROR: Invalid Sex")</f>
        <v>PASS</v>
      </c>
    </row>
    <row r="9" spans="1:10" x14ac:dyDescent="0.3">
      <c r="A9" s="1" t="s">
        <v>354</v>
      </c>
      <c r="B9" s="1" t="s">
        <v>100</v>
      </c>
      <c r="C9" s="1" t="s">
        <v>12</v>
      </c>
      <c r="D9" s="1"/>
      <c r="E9" s="1" t="s">
        <v>103</v>
      </c>
      <c r="F9" s="1" t="str">
        <f>IF(C9="Yes","PASS","ERROR: Consent not obtained")</f>
        <v>ERROR: Consent not obtained</v>
      </c>
      <c r="G9" s="1" t="s">
        <v>25</v>
      </c>
      <c r="H9" s="1" t="str">
        <f>IF(G9="Yes","PASS","ERROR: Consent not obtained")</f>
        <v>PASS</v>
      </c>
    </row>
    <row r="10" spans="1:10" x14ac:dyDescent="0.3">
      <c r="A10" s="1" t="s">
        <v>355</v>
      </c>
      <c r="B10" s="1" t="s">
        <v>105</v>
      </c>
      <c r="C10" s="1" t="s">
        <v>25</v>
      </c>
      <c r="D10" s="1"/>
      <c r="E10" s="1" t="s">
        <v>363</v>
      </c>
      <c r="F10" s="1" t="str">
        <f>IF(AND(C10="Yes",D10=""),"ERROR: Consent Date missing","PASS")</f>
        <v>ERROR: Consent Date missing</v>
      </c>
      <c r="G10" s="6">
        <v>46027</v>
      </c>
      <c r="H10" s="1" t="str">
        <f>IF(G10&lt;&gt;"","PASS","ERROR: Consent Date missing")</f>
        <v>PASS</v>
      </c>
    </row>
    <row r="11" spans="1:10" x14ac:dyDescent="0.3">
      <c r="A11" s="1" t="s">
        <v>356</v>
      </c>
      <c r="B11" s="1" t="s">
        <v>110</v>
      </c>
      <c r="C11" s="6" t="s">
        <v>447</v>
      </c>
      <c r="D11" s="6" t="s">
        <v>448</v>
      </c>
      <c r="E11" s="1" t="s">
        <v>404</v>
      </c>
      <c r="F11" s="1" t="str">
        <f>IF(C11&lt;D11,"PASS","ERROR: Procedure before consent")</f>
        <v>ERROR: Procedure before consent</v>
      </c>
      <c r="G11" s="6">
        <v>46028</v>
      </c>
      <c r="H11" s="1" t="str">
        <f>IF(G11&gt;D10,"PASS","ERROR: Procedure before consent")</f>
        <v>PASS</v>
      </c>
    </row>
    <row r="12" spans="1:10" x14ac:dyDescent="0.3">
      <c r="A12" s="1" t="s">
        <v>357</v>
      </c>
      <c r="B12" s="1" t="s">
        <v>116</v>
      </c>
      <c r="C12" s="1" t="s">
        <v>405</v>
      </c>
      <c r="D12" s="1"/>
      <c r="E12" s="1" t="s">
        <v>406</v>
      </c>
      <c r="F12" s="1" t="str">
        <f>IF(C12="Pass","PASS","ERROR: Inclusion criterion failed")</f>
        <v>ERROR: Inclusion criterion failed</v>
      </c>
      <c r="G12" s="1" t="s">
        <v>260</v>
      </c>
      <c r="H12" s="1" t="str">
        <f>IF(G12="Pass","PASS","ERROR: Inclusion criterion failed")</f>
        <v>PASS</v>
      </c>
    </row>
    <row r="13" spans="1:10" x14ac:dyDescent="0.3">
      <c r="A13" s="1" t="s">
        <v>358</v>
      </c>
      <c r="B13" s="1" t="s">
        <v>121</v>
      </c>
      <c r="C13" s="1" t="s">
        <v>405</v>
      </c>
      <c r="D13" s="1"/>
      <c r="E13" s="1" t="s">
        <v>407</v>
      </c>
      <c r="F13" s="1" t="str">
        <f>IF(C13="Pass","PASS","ERROR: Exclusion criterion failed")</f>
        <v>ERROR: Exclusion criterion failed</v>
      </c>
      <c r="G13" s="1" t="s">
        <v>260</v>
      </c>
      <c r="H13" s="1" t="str">
        <f>IF(G13="Pass","PASS","ERROR: Exclusion criterion failed")</f>
        <v>PASS</v>
      </c>
    </row>
    <row r="14" spans="1:10" x14ac:dyDescent="0.3">
      <c r="A14" s="11" t="s">
        <v>365</v>
      </c>
      <c r="B14" s="1" t="s">
        <v>126</v>
      </c>
      <c r="C14" s="1" t="s">
        <v>408</v>
      </c>
      <c r="D14" s="1" t="s">
        <v>364</v>
      </c>
      <c r="E14" s="1" t="s">
        <v>409</v>
      </c>
      <c r="F14" s="1" t="str">
        <f>IF(AND(C14="Eligibility Status = Eligible",D14="Inclusion Criterion = Fail"),"ERROR: Eligibility inconsistency","PASS")</f>
        <v>ERROR: Eligibility inconsistency</v>
      </c>
      <c r="G14" s="1" t="s">
        <v>452</v>
      </c>
      <c r="H14" s="1" t="str">
        <f>IF(G14&lt;&gt;"Eligibility Status = Eligible","PASS","ERROR")</f>
        <v>PASS</v>
      </c>
    </row>
    <row r="15" spans="1:10" x14ac:dyDescent="0.3">
      <c r="A15" s="1" t="s">
        <v>366</v>
      </c>
      <c r="B15" s="1" t="s">
        <v>131</v>
      </c>
      <c r="C15" s="1" t="s">
        <v>410</v>
      </c>
      <c r="D15" s="1" t="s">
        <v>411</v>
      </c>
      <c r="E15" s="1" t="s">
        <v>412</v>
      </c>
      <c r="F15" s="1" t="str">
        <f>IF(AND(C15="Medical History Present = Yes",D15="Medical History Term = blank"),"ERROR: Medical History Term missing","PASS")</f>
        <v>ERROR: Medical History Term missing</v>
      </c>
      <c r="G15" s="1" t="s">
        <v>453</v>
      </c>
      <c r="H15" s="1" t="str">
        <f>IF(G15&lt;&gt;"","PASS","ERROR")</f>
        <v>PASS</v>
      </c>
    </row>
    <row r="16" spans="1:10" x14ac:dyDescent="0.3">
      <c r="A16" s="1" t="s">
        <v>367</v>
      </c>
      <c r="B16" s="1" t="s">
        <v>136</v>
      </c>
      <c r="C16" s="1" t="s">
        <v>413</v>
      </c>
      <c r="D16" s="1" t="s">
        <v>414</v>
      </c>
      <c r="E16" s="1" t="s">
        <v>415</v>
      </c>
      <c r="F16" s="1" t="str">
        <f>IF(AND(C16="Medication Start Date = blank",D16&lt;&gt;""),"ERROR: Medication Start Date missing","PASS")</f>
        <v>ERROR: Medication Start Date missing</v>
      </c>
      <c r="G16" s="1" t="s">
        <v>454</v>
      </c>
      <c r="H16" s="1" t="str">
        <f>IF(G16&lt;&gt;"Medication Start Date = blank","PASS","ERROR")</f>
        <v>PASS</v>
      </c>
    </row>
    <row r="17" spans="1:8" x14ac:dyDescent="0.3">
      <c r="A17" s="1" t="s">
        <v>368</v>
      </c>
      <c r="B17" s="1" t="s">
        <v>141</v>
      </c>
      <c r="C17" s="1" t="s">
        <v>416</v>
      </c>
      <c r="D17" s="1" t="s">
        <v>417</v>
      </c>
      <c r="E17" s="1" t="s">
        <v>418</v>
      </c>
      <c r="F17" s="1" t="str">
        <f>IF(D17&lt;C17,"ERROR: Medication before consent","PASS")</f>
        <v>ERROR: Medication before consent</v>
      </c>
      <c r="G17" s="1" t="s">
        <v>455</v>
      </c>
      <c r="H17" s="1" t="str">
        <f>IF(G17="Medication Start Date = 2026-01-06","PASS","ERROR")</f>
        <v>PASS</v>
      </c>
    </row>
    <row r="18" spans="1:8" x14ac:dyDescent="0.3">
      <c r="A18" s="1" t="s">
        <v>369</v>
      </c>
      <c r="B18" s="1" t="s">
        <v>146</v>
      </c>
      <c r="C18" s="1" t="s">
        <v>370</v>
      </c>
      <c r="D18" s="1"/>
      <c r="E18" s="1" t="s">
        <v>419</v>
      </c>
      <c r="F18" s="1" t="str">
        <f>IF(C18="Systolic BP = 300","ERROR: Systolic BP out of range","PASS")</f>
        <v>ERROR: Systolic BP out of range</v>
      </c>
      <c r="G18" s="1" t="s">
        <v>456</v>
      </c>
      <c r="H18" s="1" t="str">
        <f>IF(G18="Systolic BP = 128","PASS","ERROR")</f>
        <v>PASS</v>
      </c>
    </row>
    <row r="19" spans="1:8" x14ac:dyDescent="0.3">
      <c r="A19" s="1" t="s">
        <v>371</v>
      </c>
      <c r="B19" s="1" t="s">
        <v>151</v>
      </c>
      <c r="C19" s="1" t="s">
        <v>372</v>
      </c>
      <c r="D19" s="1"/>
      <c r="E19" s="1" t="s">
        <v>373</v>
      </c>
      <c r="F19" s="1" t="str">
        <f>IF(C19="Diastolic BP = 200","ERROR: Diastolic BP out of range","PASS")</f>
        <v>ERROR: Diastolic BP out of range</v>
      </c>
      <c r="G19" s="1" t="s">
        <v>457</v>
      </c>
      <c r="H19" s="1" t="str">
        <f>IF(G19="Diastolic BP = 80","PASS","ERROR")</f>
        <v>PASS</v>
      </c>
    </row>
    <row r="20" spans="1:8" x14ac:dyDescent="0.3">
      <c r="A20" s="1" t="s">
        <v>374</v>
      </c>
      <c r="B20" s="1" t="s">
        <v>155</v>
      </c>
      <c r="C20" s="1" t="s">
        <v>420</v>
      </c>
      <c r="D20" s="1" t="s">
        <v>421</v>
      </c>
      <c r="E20" s="1" t="s">
        <v>157</v>
      </c>
      <c r="F20" s="1" t="str">
        <f>IF(AND(C20="Systolic BP = 70",D20="Diastolic BP = 90"),"ERROR: SBP not greater than DBP","PASS")</f>
        <v>ERROR: SBP not greater than DBP</v>
      </c>
      <c r="G20" s="1" t="s">
        <v>458</v>
      </c>
      <c r="H20" s="1" t="str">
        <f>IF(G20="Systolic BP = 120","PASS","ERROR")</f>
        <v>PASS</v>
      </c>
    </row>
    <row r="21" spans="1:8" x14ac:dyDescent="0.3">
      <c r="A21" s="1" t="s">
        <v>375</v>
      </c>
      <c r="B21" s="1" t="s">
        <v>160</v>
      </c>
      <c r="C21" s="1" t="s">
        <v>422</v>
      </c>
      <c r="D21" s="1" t="s">
        <v>423</v>
      </c>
      <c r="E21" s="1" t="s">
        <v>424</v>
      </c>
      <c r="F21" s="1" t="str">
        <f>IF(C21&lt;D21,"ERROR: Assessment date sequence","PASS")</f>
        <v>ERROR: Assessment date sequence</v>
      </c>
      <c r="G21" s="1" t="s">
        <v>459</v>
      </c>
      <c r="H21" s="1" t="str">
        <f>IF(G21&lt;&gt;"Assessment Date = 21-01-2026","PASS","ERROR")</f>
        <v>PASS</v>
      </c>
    </row>
    <row r="22" spans="1:8" x14ac:dyDescent="0.3">
      <c r="A22" s="1" t="s">
        <v>376</v>
      </c>
      <c r="B22" s="1" t="s">
        <v>165</v>
      </c>
      <c r="C22" s="1" t="s">
        <v>377</v>
      </c>
      <c r="D22" s="1"/>
      <c r="E22" s="1" t="s">
        <v>378</v>
      </c>
      <c r="F22" s="1" t="str">
        <f>IF(C22="HbA1c = 25","ERROR: HbA1c out of range","PASS")</f>
        <v>ERROR: HbA1c out of range</v>
      </c>
      <c r="G22" s="1" t="s">
        <v>460</v>
      </c>
      <c r="H22" s="1" t="str">
        <f>IF(G22="HbA1c = 8.2","PASS","ERROR")</f>
        <v>PASS</v>
      </c>
    </row>
    <row r="23" spans="1:8" x14ac:dyDescent="0.3">
      <c r="A23" s="1" t="s">
        <v>379</v>
      </c>
      <c r="B23" s="1" t="s">
        <v>169</v>
      </c>
      <c r="C23" s="1" t="s">
        <v>425</v>
      </c>
      <c r="D23" s="1" t="s">
        <v>426</v>
      </c>
      <c r="E23" s="1" t="s">
        <v>380</v>
      </c>
      <c r="F23" s="1" t="str">
        <f>IF(D23="Collection Date = blank","ERROR: Collection Date missing","PASS")</f>
        <v>ERROR: Collection Date missing</v>
      </c>
      <c r="G23" s="1" t="s">
        <v>461</v>
      </c>
      <c r="H23" s="1" t="str">
        <f>IF(G23="Collection Date = 2026-01-20","PASS","ERROR")</f>
        <v>PASS</v>
      </c>
    </row>
    <row r="24" spans="1:8" x14ac:dyDescent="0.3">
      <c r="A24" s="1" t="s">
        <v>381</v>
      </c>
      <c r="B24" s="1" t="s">
        <v>174</v>
      </c>
      <c r="C24" s="1" t="s">
        <v>382</v>
      </c>
      <c r="D24" s="1"/>
      <c r="E24" s="1" t="s">
        <v>383</v>
      </c>
      <c r="F24" s="1" t="str">
        <f>IF(C24="ALT = 200","ERROR: ALT out of range","PASS")</f>
        <v>ERROR: ALT out of range</v>
      </c>
      <c r="G24" s="1" t="s">
        <v>462</v>
      </c>
      <c r="H24" s="1" t="str">
        <f>IF(G24="ALT = 28","PASS","ERROR")</f>
        <v>PASS</v>
      </c>
    </row>
    <row r="25" spans="1:8" x14ac:dyDescent="0.3">
      <c r="A25" s="1" t="s">
        <v>384</v>
      </c>
      <c r="B25" s="1" t="s">
        <v>178</v>
      </c>
      <c r="C25" s="1" t="s">
        <v>427</v>
      </c>
      <c r="D25" s="1" t="s">
        <v>428</v>
      </c>
      <c r="E25" s="1" t="s">
        <v>429</v>
      </c>
      <c r="F25" s="1" t="str">
        <f>IF(AND(C25="Efficacy Assessment = blank",D25="Visit = Week 12"),"ERROR: Efficacy assessment missing","PASS")</f>
        <v>ERROR: Efficacy assessment missing</v>
      </c>
      <c r="G25" s="1" t="s">
        <v>463</v>
      </c>
      <c r="H25" s="1" t="str">
        <f>IF(G25="Efficacy Assessment = Completed","PASS","ERROR")</f>
        <v>PASS</v>
      </c>
    </row>
    <row r="26" spans="1:8" x14ac:dyDescent="0.3">
      <c r="A26" s="1" t="s">
        <v>385</v>
      </c>
      <c r="B26" s="1" t="s">
        <v>182</v>
      </c>
      <c r="C26" s="1" t="s">
        <v>430</v>
      </c>
      <c r="D26" s="1" t="s">
        <v>428</v>
      </c>
      <c r="E26" s="1" t="s">
        <v>431</v>
      </c>
      <c r="F26" s="1" t="str">
        <f>IF(C26="Assessment Date = 2026-04-30","ERROR: Assessment outside visit window","PASS")</f>
        <v>ERROR: Assessment outside visit window</v>
      </c>
      <c r="G26" s="1" t="s">
        <v>464</v>
      </c>
      <c r="H26" s="1" t="str">
        <f>IF(G26="Assessment Date = 2026-04-20","PASS","ERROR")</f>
        <v>PASS</v>
      </c>
    </row>
    <row r="27" spans="1:8" x14ac:dyDescent="0.3">
      <c r="A27" s="1" t="s">
        <v>386</v>
      </c>
      <c r="B27" s="1" t="s">
        <v>187</v>
      </c>
      <c r="C27" s="1" t="s">
        <v>432</v>
      </c>
      <c r="D27" s="1" t="s">
        <v>433</v>
      </c>
      <c r="E27" s="1" t="s">
        <v>434</v>
      </c>
      <c r="F27" s="1" t="str">
        <f>IF(AND(C27="AE Present = Yes",D27="AE Term = blank"),"ERROR: AE Term missing","PASS")</f>
        <v>ERROR: AE Term missing</v>
      </c>
      <c r="G27" s="1" t="s">
        <v>465</v>
      </c>
      <c r="H27" s="1" t="str">
        <f>IF(G27="AE Term = Headache","PASS","ERROR")</f>
        <v>PASS</v>
      </c>
    </row>
    <row r="28" spans="1:8" x14ac:dyDescent="0.3">
      <c r="A28" s="1" t="s">
        <v>387</v>
      </c>
      <c r="B28" s="1" t="s">
        <v>192</v>
      </c>
      <c r="C28" s="1" t="s">
        <v>435</v>
      </c>
      <c r="D28" s="1" t="s">
        <v>436</v>
      </c>
      <c r="E28" s="1" t="s">
        <v>388</v>
      </c>
      <c r="F28" s="1" t="str">
        <f>IF(D28&lt;C28,"ERROR: AE End Date before Start Date","PASS")</f>
        <v>ERROR: AE End Date before Start Date</v>
      </c>
      <c r="G28" s="1" t="s">
        <v>466</v>
      </c>
      <c r="H28" s="1" t="str">
        <f>IF(G28="AE End Date = 2026-03-06","PASS","ERROR")</f>
        <v>PASS</v>
      </c>
    </row>
    <row r="29" spans="1:8" x14ac:dyDescent="0.3">
      <c r="A29" s="1" t="s">
        <v>389</v>
      </c>
      <c r="B29" s="1" t="s">
        <v>197</v>
      </c>
      <c r="C29" s="1" t="s">
        <v>437</v>
      </c>
      <c r="D29" s="1" t="s">
        <v>438</v>
      </c>
      <c r="E29" s="1" t="s">
        <v>199</v>
      </c>
      <c r="F29" s="1" t="str">
        <f>IF(C29&lt;D29,"ERROR: AE before treatment exposure","PASS")</f>
        <v>ERROR: AE before treatment exposure</v>
      </c>
      <c r="G29" s="1" t="s">
        <v>467</v>
      </c>
      <c r="H29" s="1" t="str">
        <f>IF(G29="AE Start Date = 2026-01-22","PASS","ERROR")</f>
        <v>PASS</v>
      </c>
    </row>
    <row r="30" spans="1:8" x14ac:dyDescent="0.3">
      <c r="A30" s="1" t="s">
        <v>390</v>
      </c>
      <c r="B30" s="1" t="s">
        <v>202</v>
      </c>
      <c r="C30" s="1" t="s">
        <v>439</v>
      </c>
      <c r="D30" s="1" t="s">
        <v>440</v>
      </c>
      <c r="E30" s="1" t="s">
        <v>391</v>
      </c>
      <c r="F30" s="1" t="str">
        <f>IF(C30&lt;D30,"ERROR: Study Drug before treatment start","PASS")</f>
        <v>ERROR: Study Drug before treatment start</v>
      </c>
      <c r="G30" s="1" t="s">
        <v>468</v>
      </c>
      <c r="H30" s="1" t="str">
        <f>IF(G30="Study Drug Date = 2026-01-22","PASS","ERROR")</f>
        <v>PASS</v>
      </c>
    </row>
    <row r="31" spans="1:8" x14ac:dyDescent="0.3">
      <c r="A31" s="1" t="s">
        <v>392</v>
      </c>
      <c r="B31" s="1" t="s">
        <v>207</v>
      </c>
      <c r="C31" s="1" t="s">
        <v>441</v>
      </c>
      <c r="D31" s="1" t="s">
        <v>442</v>
      </c>
      <c r="E31" s="1" t="s">
        <v>393</v>
      </c>
      <c r="F31" s="1" t="str">
        <f>IF(D31="Study Drug Date = blank","ERROR: Study Drug Date missing","PASS")</f>
        <v>ERROR: Study Drug Date missing</v>
      </c>
      <c r="G31" s="1" t="s">
        <v>438</v>
      </c>
      <c r="H31" s="1" t="str">
        <f>IF(G31="Study Drug Date = 2026-01-21","PASS","ERROR")</f>
        <v>PASS</v>
      </c>
    </row>
    <row r="32" spans="1:8" x14ac:dyDescent="0.3">
      <c r="A32" s="1" t="s">
        <v>394</v>
      </c>
      <c r="B32" s="1" t="s">
        <v>212</v>
      </c>
      <c r="C32" s="1" t="s">
        <v>443</v>
      </c>
      <c r="D32" s="1"/>
      <c r="E32" s="1" t="s">
        <v>395</v>
      </c>
      <c r="F32" s="1" t="str">
        <f>IF(C32="Compliance = 120%","ERROR: Compliance out of range","PASS")</f>
        <v>ERROR: Compliance out of range</v>
      </c>
      <c r="G32" s="1" t="s">
        <v>469</v>
      </c>
      <c r="H32" s="1" t="str">
        <f>IF(G32="Compliance = 95%","PASS","ERROR")</f>
        <v>PASS</v>
      </c>
    </row>
    <row r="33" spans="1:8" x14ac:dyDescent="0.3">
      <c r="A33" s="1" t="s">
        <v>396</v>
      </c>
      <c r="B33" s="1" t="s">
        <v>217</v>
      </c>
      <c r="C33" s="1" t="s">
        <v>444</v>
      </c>
      <c r="D33" s="1" t="s">
        <v>445</v>
      </c>
      <c r="E33" s="1" t="s">
        <v>446</v>
      </c>
      <c r="F33" s="1" t="str">
        <f>IF(C33&lt;D33,"ERROR: Completion before last visit","PASS")</f>
        <v>ERROR: Completion before last visit</v>
      </c>
      <c r="G33" s="1" t="s">
        <v>470</v>
      </c>
      <c r="H33" s="1" t="str">
        <f>IF(G33="Completion Date = 2026-05-25","PASS","ERROR")</f>
        <v>PASS</v>
      </c>
    </row>
  </sheetData>
  <mergeCells count="1">
    <mergeCell ref="A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3"/>
  <sheetViews>
    <sheetView workbookViewId="0">
      <selection activeCell="D15" sqref="D15"/>
    </sheetView>
  </sheetViews>
  <sheetFormatPr defaultRowHeight="14.4" x14ac:dyDescent="0.3"/>
  <cols>
    <col min="2" max="2" width="21.33203125" customWidth="1"/>
    <col min="3" max="3" width="41.33203125" customWidth="1"/>
    <col min="4" max="4" width="53.21875" customWidth="1"/>
    <col min="5" max="5" width="29.21875" customWidth="1"/>
    <col min="7" max="7" width="13" customWidth="1"/>
    <col min="8" max="8" width="27" customWidth="1"/>
  </cols>
  <sheetData>
    <row r="1" spans="1:8" ht="17.399999999999999" x14ac:dyDescent="0.3">
      <c r="A1" s="14" t="s">
        <v>361</v>
      </c>
      <c r="B1" s="14"/>
      <c r="C1" s="14"/>
      <c r="D1" s="14"/>
      <c r="E1" s="14"/>
      <c r="F1" s="14"/>
      <c r="G1" s="14"/>
      <c r="H1" s="14"/>
    </row>
    <row r="3" spans="1:8" x14ac:dyDescent="0.3">
      <c r="A3" s="2" t="s">
        <v>527</v>
      </c>
      <c r="B3" s="2" t="s">
        <v>528</v>
      </c>
      <c r="C3" s="2" t="s">
        <v>529</v>
      </c>
      <c r="D3" s="2" t="s">
        <v>530</v>
      </c>
      <c r="E3" s="2" t="s">
        <v>531</v>
      </c>
      <c r="F3" s="2" t="s">
        <v>6</v>
      </c>
      <c r="G3" s="2" t="s">
        <v>532</v>
      </c>
      <c r="H3" s="2" t="s">
        <v>533</v>
      </c>
    </row>
    <row r="4" spans="1:8" x14ac:dyDescent="0.3">
      <c r="A4" s="1" t="s">
        <v>534</v>
      </c>
      <c r="B4" s="1" t="s">
        <v>535</v>
      </c>
      <c r="C4" s="1" t="s">
        <v>536</v>
      </c>
      <c r="D4" s="1" t="s">
        <v>537</v>
      </c>
      <c r="E4" s="1" t="s">
        <v>537</v>
      </c>
      <c r="F4" s="1" t="s">
        <v>260</v>
      </c>
      <c r="G4" s="1" t="s">
        <v>538</v>
      </c>
      <c r="H4" s="1" t="s">
        <v>539</v>
      </c>
    </row>
    <row r="5" spans="1:8" x14ac:dyDescent="0.3">
      <c r="A5" s="1" t="s">
        <v>540</v>
      </c>
      <c r="B5" s="1" t="s">
        <v>541</v>
      </c>
      <c r="C5" s="1" t="s">
        <v>542</v>
      </c>
      <c r="D5" s="1" t="s">
        <v>543</v>
      </c>
      <c r="E5" s="1" t="s">
        <v>544</v>
      </c>
      <c r="F5" s="1" t="s">
        <v>260</v>
      </c>
      <c r="G5" s="1" t="s">
        <v>538</v>
      </c>
      <c r="H5" s="1" t="s">
        <v>545</v>
      </c>
    </row>
    <row r="6" spans="1:8" x14ac:dyDescent="0.3">
      <c r="A6" s="1" t="s">
        <v>546</v>
      </c>
      <c r="B6" s="1" t="s">
        <v>97</v>
      </c>
      <c r="C6" s="1" t="s">
        <v>547</v>
      </c>
      <c r="D6" s="1" t="s">
        <v>548</v>
      </c>
      <c r="E6" s="1" t="s">
        <v>549</v>
      </c>
      <c r="F6" s="1" t="s">
        <v>260</v>
      </c>
      <c r="G6" s="1" t="s">
        <v>538</v>
      </c>
      <c r="H6" s="1" t="s">
        <v>550</v>
      </c>
    </row>
    <row r="7" spans="1:8" x14ac:dyDescent="0.3">
      <c r="A7" s="1" t="s">
        <v>551</v>
      </c>
      <c r="B7" s="1" t="s">
        <v>13</v>
      </c>
      <c r="C7" s="1" t="s">
        <v>552</v>
      </c>
      <c r="D7" s="1" t="s">
        <v>553</v>
      </c>
      <c r="E7" s="1" t="s">
        <v>554</v>
      </c>
      <c r="F7" s="1" t="s">
        <v>260</v>
      </c>
      <c r="G7" s="1" t="s">
        <v>538</v>
      </c>
      <c r="H7" s="1" t="s">
        <v>555</v>
      </c>
    </row>
    <row r="8" spans="1:8" x14ac:dyDescent="0.3">
      <c r="A8" s="1" t="s">
        <v>556</v>
      </c>
      <c r="B8" s="1" t="s">
        <v>557</v>
      </c>
      <c r="C8" s="1" t="s">
        <v>558</v>
      </c>
      <c r="D8" s="1" t="s">
        <v>559</v>
      </c>
      <c r="E8" s="1" t="s">
        <v>560</v>
      </c>
      <c r="F8" s="1" t="s">
        <v>260</v>
      </c>
      <c r="G8" s="1" t="s">
        <v>538</v>
      </c>
      <c r="H8" s="1" t="s">
        <v>561</v>
      </c>
    </row>
    <row r="9" spans="1:8" x14ac:dyDescent="0.3">
      <c r="A9" s="1" t="s">
        <v>562</v>
      </c>
      <c r="B9" s="1" t="s">
        <v>563</v>
      </c>
      <c r="C9" s="1" t="s">
        <v>564</v>
      </c>
      <c r="D9" s="1" t="s">
        <v>565</v>
      </c>
      <c r="E9" s="1" t="s">
        <v>566</v>
      </c>
      <c r="F9" s="1" t="s">
        <v>260</v>
      </c>
      <c r="G9" s="1" t="s">
        <v>538</v>
      </c>
      <c r="H9" s="1" t="s">
        <v>567</v>
      </c>
    </row>
    <row r="10" spans="1:8" x14ac:dyDescent="0.3">
      <c r="A10" s="1" t="s">
        <v>568</v>
      </c>
      <c r="B10" s="1" t="s">
        <v>535</v>
      </c>
      <c r="C10" s="1" t="s">
        <v>569</v>
      </c>
      <c r="D10" s="1" t="s">
        <v>570</v>
      </c>
      <c r="E10" s="1" t="s">
        <v>571</v>
      </c>
      <c r="F10" s="1" t="s">
        <v>260</v>
      </c>
      <c r="G10" s="1" t="s">
        <v>538</v>
      </c>
      <c r="H10" s="1" t="s">
        <v>572</v>
      </c>
    </row>
    <row r="11" spans="1:8" x14ac:dyDescent="0.3">
      <c r="A11" s="1" t="s">
        <v>573</v>
      </c>
      <c r="B11" s="1" t="s">
        <v>574</v>
      </c>
      <c r="C11" s="1" t="s">
        <v>575</v>
      </c>
      <c r="D11" s="1" t="s">
        <v>576</v>
      </c>
      <c r="E11" s="1" t="s">
        <v>577</v>
      </c>
      <c r="F11" s="1" t="s">
        <v>260</v>
      </c>
      <c r="G11" s="1" t="s">
        <v>538</v>
      </c>
      <c r="H11" s="1" t="s">
        <v>578</v>
      </c>
    </row>
    <row r="12" spans="1:8" x14ac:dyDescent="0.3">
      <c r="A12" s="1" t="s">
        <v>579</v>
      </c>
      <c r="B12" s="1" t="s">
        <v>580</v>
      </c>
      <c r="C12" s="1" t="s">
        <v>581</v>
      </c>
      <c r="D12" s="1" t="s">
        <v>582</v>
      </c>
      <c r="E12" s="1" t="s">
        <v>583</v>
      </c>
      <c r="F12" s="1" t="s">
        <v>260</v>
      </c>
      <c r="G12" s="1" t="s">
        <v>538</v>
      </c>
      <c r="H12" s="1" t="s">
        <v>584</v>
      </c>
    </row>
    <row r="13" spans="1:8" x14ac:dyDescent="0.3">
      <c r="A13" s="1" t="s">
        <v>585</v>
      </c>
      <c r="B13" s="1" t="s">
        <v>586</v>
      </c>
      <c r="C13" s="1" t="s">
        <v>587</v>
      </c>
      <c r="D13" s="1" t="s">
        <v>588</v>
      </c>
      <c r="E13" s="1" t="s">
        <v>589</v>
      </c>
      <c r="F13" s="1" t="s">
        <v>260</v>
      </c>
      <c r="G13" s="1" t="s">
        <v>538</v>
      </c>
      <c r="H13" s="1" t="s">
        <v>590</v>
      </c>
    </row>
  </sheetData>
  <mergeCells count="1">
    <mergeCell ref="A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23"/>
  <sheetViews>
    <sheetView workbookViewId="0">
      <selection activeCell="E16" sqref="E16"/>
    </sheetView>
  </sheetViews>
  <sheetFormatPr defaultRowHeight="14.4" x14ac:dyDescent="0.3"/>
  <cols>
    <col min="1" max="1" width="12.5546875" customWidth="1"/>
    <col min="2" max="2" width="14" customWidth="1"/>
    <col min="3" max="3" width="12" customWidth="1"/>
    <col min="4" max="4" width="14.5546875" customWidth="1"/>
    <col min="5" max="5" width="10.77734375" customWidth="1"/>
    <col min="8" max="8" width="22.5546875" customWidth="1"/>
    <col min="9" max="9" width="17" customWidth="1"/>
  </cols>
  <sheetData>
    <row r="1" spans="1:9" ht="17.399999999999999" x14ac:dyDescent="0.3">
      <c r="A1" s="14" t="s">
        <v>252</v>
      </c>
      <c r="B1" s="14"/>
      <c r="C1" s="14"/>
      <c r="D1" s="14"/>
      <c r="E1" s="14"/>
      <c r="F1" s="14"/>
      <c r="G1" s="14"/>
      <c r="H1" s="14"/>
    </row>
    <row r="3" spans="1:9" ht="28.8" x14ac:dyDescent="0.3">
      <c r="A3" s="2" t="s">
        <v>224</v>
      </c>
      <c r="B3" s="5" t="s">
        <v>223</v>
      </c>
      <c r="C3" s="2" t="s">
        <v>69</v>
      </c>
      <c r="D3" s="2" t="s">
        <v>82</v>
      </c>
      <c r="E3" s="2" t="s">
        <v>89</v>
      </c>
      <c r="F3" s="2" t="s">
        <v>95</v>
      </c>
      <c r="G3" s="2" t="s">
        <v>225</v>
      </c>
      <c r="H3" s="2" t="s">
        <v>226</v>
      </c>
      <c r="I3" s="3"/>
    </row>
    <row r="4" spans="1:9" x14ac:dyDescent="0.3">
      <c r="A4" s="1" t="s">
        <v>229</v>
      </c>
      <c r="B4" s="1" t="s">
        <v>228</v>
      </c>
      <c r="C4" s="1" t="s">
        <v>227</v>
      </c>
      <c r="D4" s="6">
        <v>33677</v>
      </c>
      <c r="E4" s="1">
        <v>33</v>
      </c>
      <c r="F4" s="1" t="s">
        <v>230</v>
      </c>
      <c r="G4" s="1" t="s">
        <v>231</v>
      </c>
      <c r="H4" s="1" t="s">
        <v>232</v>
      </c>
      <c r="I4" s="7"/>
    </row>
    <row r="5" spans="1:9" x14ac:dyDescent="0.3">
      <c r="A5" s="1" t="s">
        <v>229</v>
      </c>
      <c r="B5" s="1" t="s">
        <v>234</v>
      </c>
      <c r="C5" s="1" t="s">
        <v>233</v>
      </c>
      <c r="D5" s="6">
        <v>32346</v>
      </c>
      <c r="E5" s="1">
        <v>37</v>
      </c>
      <c r="F5" s="1" t="s">
        <v>235</v>
      </c>
      <c r="G5" s="1" t="s">
        <v>231</v>
      </c>
      <c r="H5" s="1" t="s">
        <v>232</v>
      </c>
      <c r="I5" s="7"/>
    </row>
    <row r="6" spans="1:9" x14ac:dyDescent="0.3">
      <c r="A6" s="1" t="s">
        <v>229</v>
      </c>
      <c r="B6" s="1" t="s">
        <v>237</v>
      </c>
      <c r="C6" s="1" t="s">
        <v>236</v>
      </c>
      <c r="D6" s="6">
        <v>35006</v>
      </c>
      <c r="E6" s="1">
        <v>30</v>
      </c>
      <c r="F6" s="1" t="s">
        <v>230</v>
      </c>
      <c r="G6" s="1" t="s">
        <v>231</v>
      </c>
      <c r="H6" s="1" t="s">
        <v>232</v>
      </c>
      <c r="I6" s="7"/>
    </row>
    <row r="7" spans="1:9" x14ac:dyDescent="0.3">
      <c r="A7" s="1" t="s">
        <v>229</v>
      </c>
      <c r="B7" s="1" t="s">
        <v>239</v>
      </c>
      <c r="C7" s="1" t="s">
        <v>238</v>
      </c>
      <c r="D7" s="6">
        <v>30455</v>
      </c>
      <c r="E7" s="1">
        <v>42</v>
      </c>
      <c r="F7" s="1" t="s">
        <v>235</v>
      </c>
      <c r="G7" s="1" t="s">
        <v>231</v>
      </c>
      <c r="H7" s="1" t="s">
        <v>232</v>
      </c>
      <c r="I7" s="7"/>
    </row>
    <row r="8" spans="1:9" x14ac:dyDescent="0.3">
      <c r="A8" s="1" t="s">
        <v>229</v>
      </c>
      <c r="B8" s="1" t="s">
        <v>241</v>
      </c>
      <c r="C8" s="1" t="s">
        <v>240</v>
      </c>
      <c r="D8" s="6">
        <v>29125</v>
      </c>
      <c r="E8" s="1">
        <v>46</v>
      </c>
      <c r="F8" s="1" t="s">
        <v>230</v>
      </c>
      <c r="G8" s="1" t="s">
        <v>231</v>
      </c>
      <c r="H8" s="1" t="s">
        <v>232</v>
      </c>
      <c r="I8" s="7"/>
    </row>
    <row r="9" spans="1:9" x14ac:dyDescent="0.3">
      <c r="A9" s="1" t="s">
        <v>229</v>
      </c>
      <c r="B9" s="1" t="s">
        <v>243</v>
      </c>
      <c r="C9" s="1" t="s">
        <v>242</v>
      </c>
      <c r="D9" s="6">
        <v>32884</v>
      </c>
      <c r="E9" s="1">
        <v>36</v>
      </c>
      <c r="F9" s="1" t="s">
        <v>235</v>
      </c>
      <c r="G9" s="1" t="s">
        <v>231</v>
      </c>
      <c r="H9" s="1" t="s">
        <v>232</v>
      </c>
      <c r="I9" s="7"/>
    </row>
    <row r="10" spans="1:9" x14ac:dyDescent="0.3">
      <c r="A10" s="1" t="s">
        <v>229</v>
      </c>
      <c r="B10" s="1" t="s">
        <v>245</v>
      </c>
      <c r="C10" s="1" t="s">
        <v>244</v>
      </c>
      <c r="D10" s="6">
        <v>31751</v>
      </c>
      <c r="E10" s="1">
        <v>39</v>
      </c>
      <c r="F10" s="1" t="s">
        <v>230</v>
      </c>
      <c r="G10" s="1" t="s">
        <v>231</v>
      </c>
      <c r="H10" s="1" t="s">
        <v>232</v>
      </c>
      <c r="I10" s="7"/>
    </row>
    <row r="11" spans="1:9" x14ac:dyDescent="0.3">
      <c r="A11" s="1" t="s">
        <v>229</v>
      </c>
      <c r="B11" s="1" t="s">
        <v>247</v>
      </c>
      <c r="C11" s="1" t="s">
        <v>246</v>
      </c>
      <c r="D11" s="6">
        <v>35901</v>
      </c>
      <c r="E11" s="1">
        <v>27</v>
      </c>
      <c r="F11" s="1" t="s">
        <v>235</v>
      </c>
      <c r="G11" s="1" t="s">
        <v>231</v>
      </c>
      <c r="H11" s="1" t="s">
        <v>232</v>
      </c>
      <c r="I11" s="7"/>
    </row>
    <row r="12" spans="1:9" x14ac:dyDescent="0.3">
      <c r="A12" s="1" t="s">
        <v>229</v>
      </c>
      <c r="B12" s="1" t="s">
        <v>249</v>
      </c>
      <c r="C12" s="1" t="s">
        <v>248</v>
      </c>
      <c r="D12" s="6">
        <v>29828</v>
      </c>
      <c r="E12" s="1">
        <v>44</v>
      </c>
      <c r="F12" s="1" t="s">
        <v>230</v>
      </c>
      <c r="G12" s="1" t="s">
        <v>231</v>
      </c>
      <c r="H12" s="1" t="s">
        <v>232</v>
      </c>
    </row>
    <row r="13" spans="1:9" x14ac:dyDescent="0.3">
      <c r="A13" s="1" t="s">
        <v>229</v>
      </c>
      <c r="B13" s="1" t="s">
        <v>251</v>
      </c>
      <c r="C13" s="1" t="s">
        <v>250</v>
      </c>
      <c r="D13" s="6">
        <v>34128</v>
      </c>
      <c r="E13" s="1">
        <v>32</v>
      </c>
      <c r="F13" s="1" t="s">
        <v>235</v>
      </c>
      <c r="G13" s="1" t="s">
        <v>231</v>
      </c>
      <c r="H13" s="1" t="s">
        <v>232</v>
      </c>
      <c r="I13" s="7"/>
    </row>
    <row r="14" spans="1:9" x14ac:dyDescent="0.3">
      <c r="D14" s="7"/>
    </row>
    <row r="15" spans="1:9" x14ac:dyDescent="0.3">
      <c r="D15" s="7"/>
    </row>
    <row r="16" spans="1:9" x14ac:dyDescent="0.3">
      <c r="D16" s="7"/>
    </row>
    <row r="17" spans="4:4" x14ac:dyDescent="0.3">
      <c r="D17" s="7"/>
    </row>
    <row r="18" spans="4:4" x14ac:dyDescent="0.3">
      <c r="D18" s="7"/>
    </row>
    <row r="19" spans="4:4" x14ac:dyDescent="0.3">
      <c r="D19" s="7"/>
    </row>
    <row r="20" spans="4:4" x14ac:dyDescent="0.3">
      <c r="D20" s="7"/>
    </row>
    <row r="21" spans="4:4" x14ac:dyDescent="0.3">
      <c r="D21" s="7"/>
    </row>
    <row r="22" spans="4:4" x14ac:dyDescent="0.3">
      <c r="D22" s="7"/>
    </row>
    <row r="23" spans="4:4" x14ac:dyDescent="0.3">
      <c r="D23" s="7"/>
    </row>
    <row r="24" spans="4:4" x14ac:dyDescent="0.3">
      <c r="D24" s="7"/>
    </row>
    <row r="25" spans="4:4" x14ac:dyDescent="0.3">
      <c r="D25" s="7"/>
    </row>
    <row r="26" spans="4:4" x14ac:dyDescent="0.3">
      <c r="D26" s="7"/>
    </row>
    <row r="27" spans="4:4" x14ac:dyDescent="0.3">
      <c r="D27" s="7"/>
    </row>
    <row r="28" spans="4:4" x14ac:dyDescent="0.3">
      <c r="D28" s="7"/>
    </row>
    <row r="29" spans="4:4" x14ac:dyDescent="0.3">
      <c r="D29" s="7"/>
    </row>
    <row r="30" spans="4:4" x14ac:dyDescent="0.3">
      <c r="D30" s="7"/>
    </row>
    <row r="31" spans="4:4" x14ac:dyDescent="0.3">
      <c r="D31" s="7"/>
    </row>
    <row r="32" spans="4:4" x14ac:dyDescent="0.3">
      <c r="D32" s="7"/>
    </row>
    <row r="33" spans="4:9" x14ac:dyDescent="0.3">
      <c r="D33" s="7"/>
    </row>
    <row r="34" spans="4:9" x14ac:dyDescent="0.3">
      <c r="D34" s="7"/>
    </row>
    <row r="35" spans="4:9" x14ac:dyDescent="0.3">
      <c r="D35" s="7"/>
    </row>
    <row r="36" spans="4:9" x14ac:dyDescent="0.3">
      <c r="D36" s="7"/>
    </row>
    <row r="37" spans="4:9" x14ac:dyDescent="0.3">
      <c r="D37" s="7"/>
    </row>
    <row r="38" spans="4:9" x14ac:dyDescent="0.3">
      <c r="D38" s="7"/>
    </row>
    <row r="39" spans="4:9" x14ac:dyDescent="0.3">
      <c r="D39" s="7"/>
    </row>
    <row r="40" spans="4:9" x14ac:dyDescent="0.3">
      <c r="D40" s="7"/>
    </row>
    <row r="41" spans="4:9" x14ac:dyDescent="0.3">
      <c r="D41" s="7"/>
    </row>
    <row r="42" spans="4:9" x14ac:dyDescent="0.3">
      <c r="D42" s="7"/>
    </row>
    <row r="43" spans="4:9" x14ac:dyDescent="0.3">
      <c r="D43" s="7"/>
    </row>
    <row r="44" spans="4:9" x14ac:dyDescent="0.3">
      <c r="D44" s="7"/>
    </row>
    <row r="45" spans="4:9" x14ac:dyDescent="0.3">
      <c r="D45" s="7"/>
    </row>
    <row r="46" spans="4:9" x14ac:dyDescent="0.3">
      <c r="D46" s="7"/>
    </row>
    <row r="47" spans="4:9" x14ac:dyDescent="0.3">
      <c r="D47" s="7"/>
      <c r="I47" s="8"/>
    </row>
    <row r="48" spans="4:9" x14ac:dyDescent="0.3">
      <c r="D48" s="7"/>
    </row>
    <row r="49" spans="4:4" x14ac:dyDescent="0.3">
      <c r="D49" s="7"/>
    </row>
    <row r="50" spans="4:4" x14ac:dyDescent="0.3">
      <c r="D50" s="7"/>
    </row>
    <row r="51" spans="4:4" x14ac:dyDescent="0.3">
      <c r="D51" s="7"/>
    </row>
    <row r="52" spans="4:4" x14ac:dyDescent="0.3">
      <c r="D52" s="7"/>
    </row>
    <row r="53" spans="4:4" x14ac:dyDescent="0.3">
      <c r="D53" s="7"/>
    </row>
    <row r="54" spans="4:4" x14ac:dyDescent="0.3">
      <c r="D54" s="7"/>
    </row>
    <row r="55" spans="4:4" x14ac:dyDescent="0.3">
      <c r="D55" s="7"/>
    </row>
    <row r="56" spans="4:4" x14ac:dyDescent="0.3">
      <c r="D56" s="7"/>
    </row>
    <row r="57" spans="4:4" x14ac:dyDescent="0.3">
      <c r="D57" s="7"/>
    </row>
    <row r="58" spans="4:4" x14ac:dyDescent="0.3">
      <c r="D58" s="7"/>
    </row>
    <row r="59" spans="4:4" x14ac:dyDescent="0.3">
      <c r="D59" s="7"/>
    </row>
    <row r="60" spans="4:4" x14ac:dyDescent="0.3">
      <c r="D60" s="7"/>
    </row>
    <row r="61" spans="4:4" x14ac:dyDescent="0.3">
      <c r="D61" s="7"/>
    </row>
    <row r="62" spans="4:4" x14ac:dyDescent="0.3">
      <c r="D62" s="7"/>
    </row>
    <row r="63" spans="4:4" x14ac:dyDescent="0.3">
      <c r="D63" s="7"/>
    </row>
    <row r="64" spans="4:4" x14ac:dyDescent="0.3">
      <c r="D64" s="7"/>
    </row>
    <row r="65" spans="4:4" x14ac:dyDescent="0.3">
      <c r="D65" s="7"/>
    </row>
    <row r="66" spans="4:4" x14ac:dyDescent="0.3">
      <c r="D66" s="7"/>
    </row>
    <row r="67" spans="4:4" x14ac:dyDescent="0.3">
      <c r="D67" s="7"/>
    </row>
    <row r="68" spans="4:4" x14ac:dyDescent="0.3">
      <c r="D68" s="7"/>
    </row>
    <row r="69" spans="4:4" x14ac:dyDescent="0.3">
      <c r="D69" s="7"/>
    </row>
    <row r="70" spans="4:4" x14ac:dyDescent="0.3">
      <c r="D70" s="7"/>
    </row>
    <row r="71" spans="4:4" x14ac:dyDescent="0.3">
      <c r="D71" s="7"/>
    </row>
    <row r="72" spans="4:4" x14ac:dyDescent="0.3">
      <c r="D72" s="7"/>
    </row>
    <row r="73" spans="4:4" x14ac:dyDescent="0.3">
      <c r="D73" s="7"/>
    </row>
    <row r="74" spans="4:4" x14ac:dyDescent="0.3">
      <c r="D74" s="7"/>
    </row>
    <row r="75" spans="4:4" x14ac:dyDescent="0.3">
      <c r="D75" s="7"/>
    </row>
    <row r="76" spans="4:4" x14ac:dyDescent="0.3">
      <c r="D76" s="7"/>
    </row>
    <row r="77" spans="4:4" x14ac:dyDescent="0.3">
      <c r="D77" s="7"/>
    </row>
    <row r="78" spans="4:4" x14ac:dyDescent="0.3">
      <c r="D78" s="7"/>
    </row>
    <row r="79" spans="4:4" x14ac:dyDescent="0.3">
      <c r="D79" s="7"/>
    </row>
    <row r="80" spans="4:4" x14ac:dyDescent="0.3">
      <c r="D80" s="7"/>
    </row>
    <row r="81" spans="4:4" x14ac:dyDescent="0.3">
      <c r="D81" s="7"/>
    </row>
    <row r="82" spans="4:4" x14ac:dyDescent="0.3">
      <c r="D82" s="7"/>
    </row>
    <row r="83" spans="4:4" x14ac:dyDescent="0.3">
      <c r="D83" s="7"/>
    </row>
    <row r="84" spans="4:4" x14ac:dyDescent="0.3">
      <c r="D84" s="7"/>
    </row>
    <row r="85" spans="4:4" x14ac:dyDescent="0.3">
      <c r="D85" s="7"/>
    </row>
    <row r="86" spans="4:4" x14ac:dyDescent="0.3">
      <c r="D86" s="7"/>
    </row>
    <row r="87" spans="4:4" x14ac:dyDescent="0.3">
      <c r="D87" s="7"/>
    </row>
    <row r="88" spans="4:4" x14ac:dyDescent="0.3">
      <c r="D88" s="7"/>
    </row>
    <row r="89" spans="4:4" x14ac:dyDescent="0.3">
      <c r="D89" s="7"/>
    </row>
    <row r="90" spans="4:4" x14ac:dyDescent="0.3">
      <c r="D90" s="7"/>
    </row>
    <row r="91" spans="4:4" x14ac:dyDescent="0.3">
      <c r="D91" s="7"/>
    </row>
    <row r="92" spans="4:4" x14ac:dyDescent="0.3">
      <c r="D92" s="7"/>
    </row>
    <row r="93" spans="4:4" x14ac:dyDescent="0.3">
      <c r="D93" s="7"/>
    </row>
    <row r="94" spans="4:4" x14ac:dyDescent="0.3">
      <c r="D94" s="7"/>
    </row>
    <row r="95" spans="4:4" x14ac:dyDescent="0.3">
      <c r="D95" s="7"/>
    </row>
    <row r="96" spans="4:4" x14ac:dyDescent="0.3">
      <c r="D96" s="7"/>
    </row>
    <row r="97" spans="4:4" x14ac:dyDescent="0.3">
      <c r="D97" s="7"/>
    </row>
    <row r="98" spans="4:4" x14ac:dyDescent="0.3">
      <c r="D98" s="7"/>
    </row>
    <row r="99" spans="4:4" x14ac:dyDescent="0.3">
      <c r="D99" s="7"/>
    </row>
    <row r="100" spans="4:4" x14ac:dyDescent="0.3">
      <c r="D100" s="7"/>
    </row>
    <row r="101" spans="4:4" x14ac:dyDescent="0.3">
      <c r="D101" s="7"/>
    </row>
    <row r="102" spans="4:4" x14ac:dyDescent="0.3">
      <c r="D102" s="7"/>
    </row>
    <row r="103" spans="4:4" x14ac:dyDescent="0.3">
      <c r="D103" s="7"/>
    </row>
    <row r="104" spans="4:4" x14ac:dyDescent="0.3">
      <c r="D104" s="7"/>
    </row>
    <row r="105" spans="4:4" x14ac:dyDescent="0.3">
      <c r="D105" s="7"/>
    </row>
    <row r="106" spans="4:4" x14ac:dyDescent="0.3">
      <c r="D106" s="7"/>
    </row>
    <row r="107" spans="4:4" x14ac:dyDescent="0.3">
      <c r="D107" s="7"/>
    </row>
    <row r="108" spans="4:4" x14ac:dyDescent="0.3">
      <c r="D108" s="7"/>
    </row>
    <row r="109" spans="4:4" x14ac:dyDescent="0.3">
      <c r="D109" s="7"/>
    </row>
    <row r="110" spans="4:4" x14ac:dyDescent="0.3">
      <c r="D110" s="7"/>
    </row>
    <row r="111" spans="4:4" x14ac:dyDescent="0.3">
      <c r="D111" s="7"/>
    </row>
    <row r="112" spans="4:4" x14ac:dyDescent="0.3">
      <c r="D112" s="7"/>
    </row>
    <row r="113" spans="4:4" x14ac:dyDescent="0.3">
      <c r="D113" s="7"/>
    </row>
    <row r="114" spans="4:4" x14ac:dyDescent="0.3">
      <c r="D114" s="7"/>
    </row>
    <row r="115" spans="4:4" x14ac:dyDescent="0.3">
      <c r="D115" s="7"/>
    </row>
    <row r="116" spans="4:4" x14ac:dyDescent="0.3">
      <c r="D116" s="7"/>
    </row>
    <row r="117" spans="4:4" x14ac:dyDescent="0.3">
      <c r="D117" s="7"/>
    </row>
    <row r="118" spans="4:4" x14ac:dyDescent="0.3">
      <c r="D118" s="7"/>
    </row>
    <row r="119" spans="4:4" x14ac:dyDescent="0.3">
      <c r="D119" s="7"/>
    </row>
    <row r="120" spans="4:4" x14ac:dyDescent="0.3">
      <c r="D120" s="7"/>
    </row>
    <row r="121" spans="4:4" x14ac:dyDescent="0.3">
      <c r="D121" s="7"/>
    </row>
    <row r="122" spans="4:4" x14ac:dyDescent="0.3">
      <c r="D122" s="7"/>
    </row>
    <row r="123" spans="4:4" x14ac:dyDescent="0.3">
      <c r="D123" s="7"/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23"/>
  <sheetViews>
    <sheetView workbookViewId="0">
      <selection activeCell="C17" sqref="C17"/>
    </sheetView>
  </sheetViews>
  <sheetFormatPr defaultRowHeight="14.4" x14ac:dyDescent="0.3"/>
  <cols>
    <col min="2" max="2" width="18.77734375" customWidth="1"/>
    <col min="3" max="3" width="25.77734375" customWidth="1"/>
    <col min="4" max="4" width="46.77734375" customWidth="1"/>
  </cols>
  <sheetData>
    <row r="1" spans="1:4" ht="17.399999999999999" x14ac:dyDescent="0.3">
      <c r="A1" s="15" t="s">
        <v>253</v>
      </c>
      <c r="B1" s="15"/>
      <c r="C1" s="15"/>
      <c r="D1" s="15"/>
    </row>
    <row r="3" spans="1:4" x14ac:dyDescent="0.3">
      <c r="A3" s="2" t="s">
        <v>69</v>
      </c>
      <c r="B3" s="2" t="s">
        <v>101</v>
      </c>
      <c r="C3" s="2" t="s">
        <v>106</v>
      </c>
      <c r="D3" s="2" t="s">
        <v>254</v>
      </c>
    </row>
    <row r="4" spans="1:4" x14ac:dyDescent="0.3">
      <c r="A4" s="1" t="s">
        <v>227</v>
      </c>
      <c r="B4" s="1" t="s">
        <v>25</v>
      </c>
      <c r="C4" s="6">
        <v>46027</v>
      </c>
      <c r="D4" s="9" t="s">
        <v>255</v>
      </c>
    </row>
    <row r="5" spans="1:4" x14ac:dyDescent="0.3">
      <c r="A5" s="1" t="s">
        <v>233</v>
      </c>
      <c r="B5" s="1" t="s">
        <v>25</v>
      </c>
      <c r="C5" s="6">
        <v>46028</v>
      </c>
      <c r="D5" s="9" t="s">
        <v>255</v>
      </c>
    </row>
    <row r="6" spans="1:4" x14ac:dyDescent="0.3">
      <c r="A6" s="1" t="s">
        <v>236</v>
      </c>
      <c r="B6" s="1" t="s">
        <v>25</v>
      </c>
      <c r="C6" s="6">
        <v>46029</v>
      </c>
      <c r="D6" s="1" t="s">
        <v>255</v>
      </c>
    </row>
    <row r="7" spans="1:4" x14ac:dyDescent="0.3">
      <c r="A7" s="1" t="s">
        <v>238</v>
      </c>
      <c r="B7" s="1" t="s">
        <v>25</v>
      </c>
      <c r="C7" s="6">
        <v>46030</v>
      </c>
      <c r="D7" s="1" t="s">
        <v>255</v>
      </c>
    </row>
    <row r="8" spans="1:4" x14ac:dyDescent="0.3">
      <c r="A8" s="1" t="s">
        <v>240</v>
      </c>
      <c r="B8" s="1" t="s">
        <v>25</v>
      </c>
      <c r="C8" s="6">
        <v>46031</v>
      </c>
      <c r="D8" s="9" t="s">
        <v>255</v>
      </c>
    </row>
    <row r="9" spans="1:4" x14ac:dyDescent="0.3">
      <c r="A9" s="1" t="s">
        <v>242</v>
      </c>
      <c r="B9" s="1" t="s">
        <v>25</v>
      </c>
      <c r="C9" s="6">
        <v>46032</v>
      </c>
      <c r="D9" s="9" t="s">
        <v>255</v>
      </c>
    </row>
    <row r="10" spans="1:4" x14ac:dyDescent="0.3">
      <c r="A10" s="1" t="s">
        <v>244</v>
      </c>
      <c r="B10" s="1" t="s">
        <v>25</v>
      </c>
      <c r="C10" s="6">
        <v>46033</v>
      </c>
      <c r="D10" s="9" t="s">
        <v>255</v>
      </c>
    </row>
    <row r="11" spans="1:4" x14ac:dyDescent="0.3">
      <c r="A11" s="1" t="s">
        <v>246</v>
      </c>
      <c r="B11" s="1" t="s">
        <v>25</v>
      </c>
      <c r="C11" s="6">
        <v>46034</v>
      </c>
      <c r="D11" s="9" t="s">
        <v>255</v>
      </c>
    </row>
    <row r="12" spans="1:4" x14ac:dyDescent="0.3">
      <c r="A12" s="1" t="s">
        <v>248</v>
      </c>
      <c r="B12" s="1" t="s">
        <v>25</v>
      </c>
      <c r="C12" s="6">
        <v>46035</v>
      </c>
      <c r="D12" s="9" t="s">
        <v>255</v>
      </c>
    </row>
    <row r="13" spans="1:4" x14ac:dyDescent="0.3">
      <c r="A13" s="1" t="s">
        <v>250</v>
      </c>
      <c r="B13" s="1" t="s">
        <v>25</v>
      </c>
      <c r="C13" s="6">
        <v>46036</v>
      </c>
      <c r="D13" s="9" t="s">
        <v>255</v>
      </c>
    </row>
    <row r="14" spans="1:4" x14ac:dyDescent="0.3">
      <c r="C14" s="7"/>
      <c r="D14" s="10"/>
    </row>
    <row r="15" spans="1:4" x14ac:dyDescent="0.3">
      <c r="C15" s="7"/>
      <c r="D15" s="10"/>
    </row>
    <row r="16" spans="1:4" x14ac:dyDescent="0.3">
      <c r="C16" s="7"/>
      <c r="D16" s="10"/>
    </row>
    <row r="17" spans="3:4" x14ac:dyDescent="0.3">
      <c r="C17" s="7"/>
      <c r="D17" s="10"/>
    </row>
    <row r="18" spans="3:4" x14ac:dyDescent="0.3">
      <c r="C18" s="7"/>
      <c r="D18" s="10"/>
    </row>
    <row r="19" spans="3:4" x14ac:dyDescent="0.3">
      <c r="C19" s="7"/>
      <c r="D19" s="10"/>
    </row>
    <row r="20" spans="3:4" x14ac:dyDescent="0.3">
      <c r="C20" s="7"/>
      <c r="D20" s="10"/>
    </row>
    <row r="21" spans="3:4" x14ac:dyDescent="0.3">
      <c r="C21" s="7"/>
      <c r="D21" s="10"/>
    </row>
    <row r="22" spans="3:4" x14ac:dyDescent="0.3">
      <c r="C22" s="7"/>
      <c r="D22" s="10"/>
    </row>
    <row r="23" spans="3:4" x14ac:dyDescent="0.3">
      <c r="C23" s="7"/>
      <c r="D23" s="10"/>
    </row>
    <row r="24" spans="3:4" x14ac:dyDescent="0.3">
      <c r="C24" s="7"/>
      <c r="D24" s="10"/>
    </row>
    <row r="25" spans="3:4" x14ac:dyDescent="0.3">
      <c r="C25" s="7"/>
      <c r="D25" s="10"/>
    </row>
    <row r="26" spans="3:4" x14ac:dyDescent="0.3">
      <c r="C26" s="7"/>
    </row>
    <row r="27" spans="3:4" x14ac:dyDescent="0.3">
      <c r="C27" s="7"/>
    </row>
    <row r="28" spans="3:4" x14ac:dyDescent="0.3">
      <c r="C28" s="7"/>
    </row>
    <row r="29" spans="3:4" x14ac:dyDescent="0.3">
      <c r="C29" s="7"/>
    </row>
    <row r="30" spans="3:4" x14ac:dyDescent="0.3">
      <c r="C30" s="7"/>
    </row>
    <row r="31" spans="3:4" x14ac:dyDescent="0.3">
      <c r="C31" s="7"/>
    </row>
    <row r="32" spans="3:4" x14ac:dyDescent="0.3">
      <c r="C32" s="7"/>
    </row>
    <row r="33" spans="3:3" x14ac:dyDescent="0.3">
      <c r="C33" s="7"/>
    </row>
    <row r="34" spans="3:3" x14ac:dyDescent="0.3">
      <c r="C34" s="7"/>
    </row>
    <row r="35" spans="3:3" x14ac:dyDescent="0.3">
      <c r="C35" s="7"/>
    </row>
    <row r="36" spans="3:3" x14ac:dyDescent="0.3">
      <c r="C36" s="7"/>
    </row>
    <row r="37" spans="3:3" x14ac:dyDescent="0.3">
      <c r="C37" s="7"/>
    </row>
    <row r="38" spans="3:3" x14ac:dyDescent="0.3">
      <c r="C38" s="7"/>
    </row>
    <row r="39" spans="3:3" x14ac:dyDescent="0.3">
      <c r="C39" s="7"/>
    </row>
    <row r="40" spans="3:3" x14ac:dyDescent="0.3">
      <c r="C40" s="7"/>
    </row>
    <row r="41" spans="3:3" x14ac:dyDescent="0.3">
      <c r="C41" s="7"/>
    </row>
    <row r="42" spans="3:3" x14ac:dyDescent="0.3">
      <c r="C42" s="7"/>
    </row>
    <row r="43" spans="3:3" x14ac:dyDescent="0.3">
      <c r="C43" s="7"/>
    </row>
    <row r="44" spans="3:3" x14ac:dyDescent="0.3">
      <c r="C44" s="7"/>
    </row>
    <row r="45" spans="3:3" x14ac:dyDescent="0.3">
      <c r="C45" s="7"/>
    </row>
    <row r="46" spans="3:3" x14ac:dyDescent="0.3">
      <c r="C46" s="7"/>
    </row>
    <row r="47" spans="3:3" x14ac:dyDescent="0.3">
      <c r="C47" s="7"/>
    </row>
    <row r="48" spans="3:3" x14ac:dyDescent="0.3">
      <c r="C48" s="7"/>
    </row>
    <row r="49" spans="3:3" x14ac:dyDescent="0.3">
      <c r="C49" s="7"/>
    </row>
    <row r="50" spans="3:3" x14ac:dyDescent="0.3">
      <c r="C50" s="7"/>
    </row>
    <row r="51" spans="3:3" x14ac:dyDescent="0.3">
      <c r="C51" s="7"/>
    </row>
    <row r="52" spans="3:3" x14ac:dyDescent="0.3">
      <c r="C52" s="7"/>
    </row>
    <row r="53" spans="3:3" x14ac:dyDescent="0.3">
      <c r="C53" s="7"/>
    </row>
    <row r="54" spans="3:3" x14ac:dyDescent="0.3">
      <c r="C54" s="7"/>
    </row>
    <row r="55" spans="3:3" x14ac:dyDescent="0.3">
      <c r="C55" s="7"/>
    </row>
    <row r="56" spans="3:3" x14ac:dyDescent="0.3">
      <c r="C56" s="7"/>
    </row>
    <row r="57" spans="3:3" x14ac:dyDescent="0.3">
      <c r="C57" s="7"/>
    </row>
    <row r="58" spans="3:3" x14ac:dyDescent="0.3">
      <c r="C58" s="7"/>
    </row>
    <row r="59" spans="3:3" x14ac:dyDescent="0.3">
      <c r="C59" s="7"/>
    </row>
    <row r="60" spans="3:3" x14ac:dyDescent="0.3">
      <c r="C60" s="7"/>
    </row>
    <row r="61" spans="3:3" x14ac:dyDescent="0.3">
      <c r="C61" s="7"/>
    </row>
    <row r="62" spans="3:3" x14ac:dyDescent="0.3">
      <c r="C62" s="7"/>
    </row>
    <row r="63" spans="3:3" x14ac:dyDescent="0.3">
      <c r="C63" s="7"/>
    </row>
    <row r="64" spans="3:3" x14ac:dyDescent="0.3">
      <c r="C64" s="7"/>
    </row>
    <row r="65" spans="3:3" x14ac:dyDescent="0.3">
      <c r="C65" s="7"/>
    </row>
    <row r="66" spans="3:3" x14ac:dyDescent="0.3">
      <c r="C66" s="7"/>
    </row>
    <row r="67" spans="3:3" x14ac:dyDescent="0.3">
      <c r="C67" s="7"/>
    </row>
    <row r="68" spans="3:3" x14ac:dyDescent="0.3">
      <c r="C68" s="7"/>
    </row>
    <row r="69" spans="3:3" x14ac:dyDescent="0.3">
      <c r="C69" s="7"/>
    </row>
    <row r="70" spans="3:3" x14ac:dyDescent="0.3">
      <c r="C70" s="7"/>
    </row>
    <row r="71" spans="3:3" x14ac:dyDescent="0.3">
      <c r="C71" s="7"/>
    </row>
    <row r="72" spans="3:3" x14ac:dyDescent="0.3">
      <c r="C72" s="7"/>
    </row>
    <row r="73" spans="3:3" x14ac:dyDescent="0.3">
      <c r="C73" s="7"/>
    </row>
    <row r="74" spans="3:3" x14ac:dyDescent="0.3">
      <c r="C74" s="7"/>
    </row>
    <row r="75" spans="3:3" x14ac:dyDescent="0.3">
      <c r="C75" s="7"/>
    </row>
    <row r="76" spans="3:3" x14ac:dyDescent="0.3">
      <c r="C76" s="7"/>
    </row>
    <row r="77" spans="3:3" x14ac:dyDescent="0.3">
      <c r="C77" s="7"/>
    </row>
    <row r="78" spans="3:3" x14ac:dyDescent="0.3">
      <c r="C78" s="7"/>
    </row>
    <row r="79" spans="3:3" x14ac:dyDescent="0.3">
      <c r="C79" s="7"/>
    </row>
    <row r="80" spans="3:3" x14ac:dyDescent="0.3">
      <c r="C80" s="7"/>
    </row>
    <row r="81" spans="3:3" x14ac:dyDescent="0.3">
      <c r="C81" s="7"/>
    </row>
    <row r="82" spans="3:3" x14ac:dyDescent="0.3">
      <c r="C82" s="7"/>
    </row>
    <row r="83" spans="3:3" x14ac:dyDescent="0.3">
      <c r="C83" s="7"/>
    </row>
    <row r="84" spans="3:3" x14ac:dyDescent="0.3">
      <c r="C84" s="7"/>
    </row>
    <row r="85" spans="3:3" x14ac:dyDescent="0.3">
      <c r="C85" s="7"/>
    </row>
    <row r="86" spans="3:3" x14ac:dyDescent="0.3">
      <c r="C86" s="7"/>
    </row>
    <row r="87" spans="3:3" x14ac:dyDescent="0.3">
      <c r="C87" s="7"/>
    </row>
    <row r="88" spans="3:3" x14ac:dyDescent="0.3">
      <c r="C88" s="7"/>
    </row>
    <row r="89" spans="3:3" x14ac:dyDescent="0.3">
      <c r="C89" s="7"/>
    </row>
    <row r="90" spans="3:3" x14ac:dyDescent="0.3">
      <c r="C90" s="7"/>
    </row>
    <row r="91" spans="3:3" x14ac:dyDescent="0.3">
      <c r="C91" s="7"/>
    </row>
    <row r="92" spans="3:3" x14ac:dyDescent="0.3">
      <c r="C92" s="7"/>
    </row>
    <row r="93" spans="3:3" x14ac:dyDescent="0.3">
      <c r="C93" s="7"/>
    </row>
    <row r="94" spans="3:3" x14ac:dyDescent="0.3">
      <c r="C94" s="7"/>
    </row>
    <row r="95" spans="3:3" x14ac:dyDescent="0.3">
      <c r="C95" s="7"/>
    </row>
    <row r="96" spans="3:3" x14ac:dyDescent="0.3">
      <c r="C96" s="7"/>
    </row>
    <row r="97" spans="3:3" x14ac:dyDescent="0.3">
      <c r="C97" s="7"/>
    </row>
    <row r="98" spans="3:3" x14ac:dyDescent="0.3">
      <c r="C98" s="7"/>
    </row>
    <row r="99" spans="3:3" x14ac:dyDescent="0.3">
      <c r="C99" s="7"/>
    </row>
    <row r="100" spans="3:3" x14ac:dyDescent="0.3">
      <c r="C100" s="7"/>
    </row>
    <row r="101" spans="3:3" x14ac:dyDescent="0.3">
      <c r="C101" s="7"/>
    </row>
    <row r="102" spans="3:3" x14ac:dyDescent="0.3">
      <c r="C102" s="7"/>
    </row>
    <row r="103" spans="3:3" x14ac:dyDescent="0.3">
      <c r="C103" s="7"/>
    </row>
    <row r="104" spans="3:3" x14ac:dyDescent="0.3">
      <c r="C104" s="7"/>
    </row>
    <row r="105" spans="3:3" x14ac:dyDescent="0.3">
      <c r="C105" s="7"/>
    </row>
    <row r="106" spans="3:3" x14ac:dyDescent="0.3">
      <c r="C106" s="7"/>
    </row>
    <row r="107" spans="3:3" x14ac:dyDescent="0.3">
      <c r="C107" s="7"/>
    </row>
    <row r="108" spans="3:3" x14ac:dyDescent="0.3">
      <c r="C108" s="7"/>
    </row>
    <row r="109" spans="3:3" x14ac:dyDescent="0.3">
      <c r="C109" s="7"/>
    </row>
    <row r="110" spans="3:3" x14ac:dyDescent="0.3">
      <c r="C110" s="7"/>
    </row>
    <row r="111" spans="3:3" x14ac:dyDescent="0.3">
      <c r="C111" s="7"/>
    </row>
    <row r="112" spans="3:3" x14ac:dyDescent="0.3">
      <c r="C112" s="7"/>
    </row>
    <row r="113" spans="3:3" x14ac:dyDescent="0.3">
      <c r="C113" s="7"/>
    </row>
    <row r="114" spans="3:3" x14ac:dyDescent="0.3">
      <c r="C114" s="7"/>
    </row>
    <row r="115" spans="3:3" x14ac:dyDescent="0.3">
      <c r="C115" s="7"/>
    </row>
    <row r="116" spans="3:3" x14ac:dyDescent="0.3">
      <c r="C116" s="7"/>
    </row>
    <row r="117" spans="3:3" x14ac:dyDescent="0.3">
      <c r="C117" s="7"/>
    </row>
    <row r="118" spans="3:3" x14ac:dyDescent="0.3">
      <c r="C118" s="7"/>
    </row>
    <row r="119" spans="3:3" x14ac:dyDescent="0.3">
      <c r="C119" s="7"/>
    </row>
    <row r="120" spans="3:3" x14ac:dyDescent="0.3">
      <c r="C120" s="7"/>
    </row>
    <row r="121" spans="3:3" x14ac:dyDescent="0.3">
      <c r="C121" s="7"/>
    </row>
    <row r="122" spans="3:3" x14ac:dyDescent="0.3">
      <c r="C122" s="7"/>
    </row>
    <row r="123" spans="3:3" x14ac:dyDescent="0.3">
      <c r="C123" s="7"/>
    </row>
  </sheetData>
  <mergeCells count="1">
    <mergeCell ref="A1:D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3"/>
  <sheetViews>
    <sheetView workbookViewId="0">
      <selection sqref="A1:E1"/>
    </sheetView>
  </sheetViews>
  <sheetFormatPr defaultRowHeight="14.4" x14ac:dyDescent="0.3"/>
  <cols>
    <col min="1" max="1" width="13.77734375" customWidth="1"/>
    <col min="2" max="2" width="27.44140625" customWidth="1"/>
    <col min="3" max="3" width="25.88671875" customWidth="1"/>
    <col min="4" max="4" width="15" customWidth="1"/>
    <col min="5" max="5" width="16.6640625" customWidth="1"/>
  </cols>
  <sheetData>
    <row r="1" spans="1:5" ht="17.399999999999999" x14ac:dyDescent="0.3">
      <c r="A1" s="15" t="s">
        <v>256</v>
      </c>
      <c r="B1" s="15"/>
      <c r="C1" s="15"/>
      <c r="D1" s="15"/>
      <c r="E1" s="15"/>
    </row>
    <row r="3" spans="1:5" x14ac:dyDescent="0.3">
      <c r="A3" s="2" t="s">
        <v>69</v>
      </c>
      <c r="B3" s="5" t="s">
        <v>257</v>
      </c>
      <c r="C3" s="5" t="s">
        <v>258</v>
      </c>
      <c r="D3" s="2" t="s">
        <v>127</v>
      </c>
      <c r="E3" s="2" t="s">
        <v>259</v>
      </c>
    </row>
    <row r="4" spans="1:5" x14ac:dyDescent="0.3">
      <c r="A4" s="1" t="s">
        <v>227</v>
      </c>
      <c r="B4" s="1" t="s">
        <v>260</v>
      </c>
      <c r="C4" s="1" t="s">
        <v>260</v>
      </c>
      <c r="D4" s="1" t="s">
        <v>261</v>
      </c>
      <c r="E4" s="6">
        <v>46028</v>
      </c>
    </row>
    <row r="5" spans="1:5" x14ac:dyDescent="0.3">
      <c r="A5" s="1" t="s">
        <v>233</v>
      </c>
      <c r="B5" s="1" t="s">
        <v>260</v>
      </c>
      <c r="C5" s="1" t="s">
        <v>260</v>
      </c>
      <c r="D5" s="1" t="s">
        <v>261</v>
      </c>
      <c r="E5" s="6">
        <v>46029</v>
      </c>
    </row>
    <row r="6" spans="1:5" x14ac:dyDescent="0.3">
      <c r="A6" s="1" t="s">
        <v>236</v>
      </c>
      <c r="B6" s="1" t="s">
        <v>260</v>
      </c>
      <c r="C6" s="1" t="s">
        <v>260</v>
      </c>
      <c r="D6" s="1" t="s">
        <v>261</v>
      </c>
      <c r="E6" s="6">
        <v>46030</v>
      </c>
    </row>
    <row r="7" spans="1:5" x14ac:dyDescent="0.3">
      <c r="A7" s="1" t="s">
        <v>238</v>
      </c>
      <c r="B7" s="1" t="s">
        <v>260</v>
      </c>
      <c r="C7" s="1" t="s">
        <v>260</v>
      </c>
      <c r="D7" s="1" t="s">
        <v>261</v>
      </c>
      <c r="E7" s="6">
        <v>46031</v>
      </c>
    </row>
    <row r="8" spans="1:5" x14ac:dyDescent="0.3">
      <c r="A8" s="1" t="s">
        <v>240</v>
      </c>
      <c r="B8" s="1" t="s">
        <v>260</v>
      </c>
      <c r="C8" s="1" t="s">
        <v>260</v>
      </c>
      <c r="D8" s="1" t="s">
        <v>261</v>
      </c>
      <c r="E8" s="6">
        <v>46032</v>
      </c>
    </row>
    <row r="9" spans="1:5" x14ac:dyDescent="0.3">
      <c r="A9" s="1" t="s">
        <v>242</v>
      </c>
      <c r="B9" s="1" t="s">
        <v>260</v>
      </c>
      <c r="C9" s="1" t="s">
        <v>260</v>
      </c>
      <c r="D9" s="1" t="s">
        <v>261</v>
      </c>
      <c r="E9" s="6">
        <v>46033</v>
      </c>
    </row>
    <row r="10" spans="1:5" x14ac:dyDescent="0.3">
      <c r="A10" s="1" t="s">
        <v>244</v>
      </c>
      <c r="B10" s="1" t="s">
        <v>260</v>
      </c>
      <c r="C10" s="1" t="s">
        <v>260</v>
      </c>
      <c r="D10" s="1" t="s">
        <v>261</v>
      </c>
      <c r="E10" s="6">
        <v>46034</v>
      </c>
    </row>
    <row r="11" spans="1:5" x14ac:dyDescent="0.3">
      <c r="A11" s="1" t="s">
        <v>246</v>
      </c>
      <c r="B11" s="1" t="s">
        <v>260</v>
      </c>
      <c r="C11" s="1" t="s">
        <v>260</v>
      </c>
      <c r="D11" s="1" t="s">
        <v>261</v>
      </c>
      <c r="E11" s="6">
        <v>46035</v>
      </c>
    </row>
    <row r="12" spans="1:5" x14ac:dyDescent="0.3">
      <c r="A12" s="1" t="s">
        <v>248</v>
      </c>
      <c r="B12" s="1" t="s">
        <v>260</v>
      </c>
      <c r="C12" s="1" t="s">
        <v>260</v>
      </c>
      <c r="D12" s="1" t="s">
        <v>261</v>
      </c>
      <c r="E12" s="6">
        <v>46036</v>
      </c>
    </row>
    <row r="13" spans="1:5" x14ac:dyDescent="0.3">
      <c r="A13" s="1" t="s">
        <v>250</v>
      </c>
      <c r="B13" s="1" t="s">
        <v>260</v>
      </c>
      <c r="C13" s="1" t="s">
        <v>260</v>
      </c>
      <c r="D13" s="1" t="s">
        <v>261</v>
      </c>
      <c r="E13" s="6">
        <v>46037</v>
      </c>
    </row>
  </sheetData>
  <mergeCells count="1">
    <mergeCell ref="A1:E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3"/>
  <sheetViews>
    <sheetView workbookViewId="0">
      <selection activeCell="C17" sqref="C17"/>
    </sheetView>
  </sheetViews>
  <sheetFormatPr defaultRowHeight="14.4" x14ac:dyDescent="0.3"/>
  <cols>
    <col min="1" max="1" width="11.33203125" customWidth="1"/>
    <col min="2" max="2" width="20.44140625" customWidth="1"/>
    <col min="3" max="3" width="21.33203125" customWidth="1"/>
    <col min="4" max="4" width="11.21875" customWidth="1"/>
    <col min="5" max="5" width="13.6640625" customWidth="1"/>
  </cols>
  <sheetData>
    <row r="1" spans="1:5" ht="17.399999999999999" x14ac:dyDescent="0.3">
      <c r="A1" s="14" t="s">
        <v>262</v>
      </c>
      <c r="B1" s="14"/>
      <c r="C1" s="14"/>
      <c r="D1" s="14"/>
      <c r="E1" s="14"/>
    </row>
    <row r="3" spans="1:5" x14ac:dyDescent="0.3">
      <c r="A3" s="2" t="s">
        <v>69</v>
      </c>
      <c r="B3" s="2" t="s">
        <v>263</v>
      </c>
      <c r="C3" s="2" t="s">
        <v>264</v>
      </c>
      <c r="D3" s="2" t="s">
        <v>265</v>
      </c>
      <c r="E3" s="2" t="s">
        <v>266</v>
      </c>
    </row>
    <row r="4" spans="1:5" x14ac:dyDescent="0.3">
      <c r="A4" s="1" t="s">
        <v>227</v>
      </c>
      <c r="B4" s="1" t="s">
        <v>25</v>
      </c>
      <c r="C4" s="1" t="s">
        <v>267</v>
      </c>
      <c r="D4" s="6">
        <v>43961</v>
      </c>
      <c r="E4" s="1" t="s">
        <v>25</v>
      </c>
    </row>
    <row r="5" spans="1:5" x14ac:dyDescent="0.3">
      <c r="A5" s="1" t="s">
        <v>233</v>
      </c>
      <c r="B5" s="1" t="s">
        <v>12</v>
      </c>
      <c r="C5" s="1"/>
      <c r="D5" s="1" t="s">
        <v>268</v>
      </c>
      <c r="E5" s="1" t="s">
        <v>12</v>
      </c>
    </row>
    <row r="6" spans="1:5" x14ac:dyDescent="0.3">
      <c r="A6" s="1" t="s">
        <v>236</v>
      </c>
      <c r="B6" s="1" t="s">
        <v>25</v>
      </c>
      <c r="C6" s="1" t="s">
        <v>269</v>
      </c>
      <c r="D6" s="6">
        <v>43174</v>
      </c>
      <c r="E6" s="1" t="s">
        <v>25</v>
      </c>
    </row>
    <row r="7" spans="1:5" x14ac:dyDescent="0.3">
      <c r="A7" s="1" t="s">
        <v>238</v>
      </c>
      <c r="B7" s="1" t="s">
        <v>12</v>
      </c>
      <c r="C7" s="1"/>
      <c r="D7" s="1" t="s">
        <v>268</v>
      </c>
      <c r="E7" s="1" t="s">
        <v>12</v>
      </c>
    </row>
    <row r="8" spans="1:5" x14ac:dyDescent="0.3">
      <c r="A8" s="1" t="s">
        <v>240</v>
      </c>
      <c r="B8" s="1" t="s">
        <v>25</v>
      </c>
      <c r="C8" s="1" t="s">
        <v>270</v>
      </c>
      <c r="D8" s="6">
        <v>44428</v>
      </c>
      <c r="E8" s="1" t="s">
        <v>25</v>
      </c>
    </row>
    <row r="9" spans="1:5" x14ac:dyDescent="0.3">
      <c r="A9" s="1" t="s">
        <v>242</v>
      </c>
      <c r="B9" s="1" t="s">
        <v>12</v>
      </c>
      <c r="C9" s="1"/>
      <c r="D9" s="1" t="s">
        <v>268</v>
      </c>
      <c r="E9" s="1" t="s">
        <v>12</v>
      </c>
    </row>
    <row r="10" spans="1:5" x14ac:dyDescent="0.3">
      <c r="A10" s="1" t="s">
        <v>244</v>
      </c>
      <c r="B10" s="1" t="s">
        <v>25</v>
      </c>
      <c r="C10" s="1" t="s">
        <v>267</v>
      </c>
      <c r="D10" s="6">
        <v>43774</v>
      </c>
      <c r="E10" s="1" t="s">
        <v>25</v>
      </c>
    </row>
    <row r="11" spans="1:5" x14ac:dyDescent="0.3">
      <c r="A11" s="1" t="s">
        <v>246</v>
      </c>
      <c r="B11" s="1" t="s">
        <v>12</v>
      </c>
      <c r="C11" s="1"/>
      <c r="D11" s="1" t="s">
        <v>268</v>
      </c>
      <c r="E11" s="1" t="s">
        <v>12</v>
      </c>
    </row>
    <row r="12" spans="1:5" x14ac:dyDescent="0.3">
      <c r="A12" s="1" t="s">
        <v>248</v>
      </c>
      <c r="B12" s="1" t="s">
        <v>25</v>
      </c>
      <c r="C12" s="1" t="s">
        <v>271</v>
      </c>
      <c r="D12" s="6">
        <v>44606</v>
      </c>
      <c r="E12" s="1" t="s">
        <v>25</v>
      </c>
    </row>
    <row r="13" spans="1:5" x14ac:dyDescent="0.3">
      <c r="A13" s="1" t="s">
        <v>250</v>
      </c>
      <c r="B13" s="1" t="s">
        <v>12</v>
      </c>
      <c r="C13" s="1"/>
      <c r="D13" s="1" t="s">
        <v>268</v>
      </c>
      <c r="E13" s="1" t="s">
        <v>12</v>
      </c>
    </row>
  </sheetData>
  <mergeCells count="1">
    <mergeCell ref="A1:E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3"/>
  <sheetViews>
    <sheetView workbookViewId="0">
      <selection activeCell="J27" sqref="J27"/>
    </sheetView>
  </sheetViews>
  <sheetFormatPr defaultRowHeight="14.4" x14ac:dyDescent="0.3"/>
  <cols>
    <col min="1" max="1" width="11.88671875" customWidth="1"/>
    <col min="2" max="2" width="16.5546875" customWidth="1"/>
    <col min="3" max="3" width="14.77734375" customWidth="1"/>
    <col min="4" max="4" width="15.109375" customWidth="1"/>
    <col min="5" max="5" width="10.77734375" customWidth="1"/>
  </cols>
  <sheetData>
    <row r="1" spans="1:7" ht="17.399999999999999" x14ac:dyDescent="0.3">
      <c r="A1" s="14" t="s">
        <v>272</v>
      </c>
      <c r="B1" s="14"/>
      <c r="C1" s="14"/>
      <c r="D1" s="14"/>
      <c r="E1" s="14"/>
      <c r="F1" s="14"/>
      <c r="G1" s="14"/>
    </row>
    <row r="3" spans="1:7" x14ac:dyDescent="0.3">
      <c r="A3" s="2" t="s">
        <v>69</v>
      </c>
      <c r="B3" s="2" t="s">
        <v>273</v>
      </c>
      <c r="C3" s="2" t="s">
        <v>265</v>
      </c>
      <c r="D3" s="2" t="s">
        <v>274</v>
      </c>
      <c r="E3" s="2" t="s">
        <v>275</v>
      </c>
      <c r="F3" s="2" t="s">
        <v>276</v>
      </c>
      <c r="G3" s="2" t="s">
        <v>266</v>
      </c>
    </row>
    <row r="4" spans="1:7" x14ac:dyDescent="0.3">
      <c r="A4" s="1" t="s">
        <v>227</v>
      </c>
      <c r="B4" s="1" t="s">
        <v>277</v>
      </c>
      <c r="C4" s="6">
        <v>43992</v>
      </c>
      <c r="D4" s="1" t="s">
        <v>268</v>
      </c>
      <c r="E4" s="1" t="s">
        <v>278</v>
      </c>
      <c r="F4" s="1" t="s">
        <v>279</v>
      </c>
      <c r="G4" s="1" t="s">
        <v>25</v>
      </c>
    </row>
    <row r="5" spans="1:7" x14ac:dyDescent="0.3">
      <c r="A5" s="1" t="s">
        <v>233</v>
      </c>
      <c r="B5" s="1" t="s">
        <v>277</v>
      </c>
      <c r="C5" s="6">
        <v>43539</v>
      </c>
      <c r="D5" s="1" t="s">
        <v>268</v>
      </c>
      <c r="E5" s="1" t="s">
        <v>278</v>
      </c>
      <c r="F5" s="1" t="s">
        <v>279</v>
      </c>
      <c r="G5" s="1" t="s">
        <v>25</v>
      </c>
    </row>
    <row r="6" spans="1:7" x14ac:dyDescent="0.3">
      <c r="A6" s="1" t="s">
        <v>236</v>
      </c>
      <c r="B6" s="1" t="s">
        <v>280</v>
      </c>
      <c r="C6" s="6">
        <v>44216</v>
      </c>
      <c r="D6" s="6">
        <v>46006</v>
      </c>
      <c r="E6" s="1" t="s">
        <v>281</v>
      </c>
      <c r="F6" s="1" t="s">
        <v>279</v>
      </c>
      <c r="G6" s="1" t="s">
        <v>12</v>
      </c>
    </row>
    <row r="7" spans="1:7" x14ac:dyDescent="0.3">
      <c r="A7" s="1" t="s">
        <v>238</v>
      </c>
      <c r="B7" s="1" t="s">
        <v>277</v>
      </c>
      <c r="C7" s="6">
        <v>44656</v>
      </c>
      <c r="D7" s="1" t="s">
        <v>268</v>
      </c>
      <c r="E7" s="1" t="s">
        <v>278</v>
      </c>
      <c r="F7" s="1" t="s">
        <v>279</v>
      </c>
      <c r="G7" s="1" t="s">
        <v>25</v>
      </c>
    </row>
    <row r="8" spans="1:7" x14ac:dyDescent="0.3">
      <c r="A8" s="1" t="s">
        <v>240</v>
      </c>
      <c r="B8" s="1" t="s">
        <v>282</v>
      </c>
      <c r="C8" s="6">
        <v>44428</v>
      </c>
      <c r="D8" s="1" t="s">
        <v>268</v>
      </c>
      <c r="E8" s="1" t="s">
        <v>283</v>
      </c>
      <c r="F8" s="1" t="s">
        <v>279</v>
      </c>
      <c r="G8" s="1" t="s">
        <v>25</v>
      </c>
    </row>
    <row r="9" spans="1:7" x14ac:dyDescent="0.3">
      <c r="A9" s="1" t="s">
        <v>242</v>
      </c>
      <c r="B9" s="1" t="s">
        <v>277</v>
      </c>
      <c r="C9" s="6">
        <v>44147</v>
      </c>
      <c r="D9" s="1" t="s">
        <v>268</v>
      </c>
      <c r="E9" s="1" t="s">
        <v>278</v>
      </c>
      <c r="F9" s="1" t="s">
        <v>279</v>
      </c>
      <c r="G9" s="1" t="s">
        <v>25</v>
      </c>
    </row>
    <row r="10" spans="1:7" x14ac:dyDescent="0.3">
      <c r="A10" s="1" t="s">
        <v>244</v>
      </c>
      <c r="B10" s="1" t="s">
        <v>284</v>
      </c>
      <c r="C10" s="6">
        <v>43774</v>
      </c>
      <c r="D10" s="1" t="s">
        <v>268</v>
      </c>
      <c r="E10" s="1" t="s">
        <v>285</v>
      </c>
      <c r="F10" s="1" t="s">
        <v>279</v>
      </c>
      <c r="G10" s="1" t="s">
        <v>25</v>
      </c>
    </row>
    <row r="11" spans="1:7" x14ac:dyDescent="0.3">
      <c r="A11" s="1" t="s">
        <v>246</v>
      </c>
      <c r="B11" s="1" t="s">
        <v>277</v>
      </c>
      <c r="C11" s="6">
        <v>44967</v>
      </c>
      <c r="D11" s="1" t="s">
        <v>268</v>
      </c>
      <c r="E11" s="1" t="s">
        <v>278</v>
      </c>
      <c r="F11" s="1" t="s">
        <v>279</v>
      </c>
      <c r="G11" s="1" t="s">
        <v>25</v>
      </c>
    </row>
    <row r="12" spans="1:7" x14ac:dyDescent="0.3">
      <c r="A12" s="1" t="s">
        <v>248</v>
      </c>
      <c r="B12" s="1" t="s">
        <v>286</v>
      </c>
      <c r="C12" s="6">
        <v>44606</v>
      </c>
      <c r="D12" s="1" t="s">
        <v>268</v>
      </c>
      <c r="E12" s="1" t="s">
        <v>287</v>
      </c>
      <c r="F12" s="1" t="s">
        <v>279</v>
      </c>
      <c r="G12" s="1" t="s">
        <v>25</v>
      </c>
    </row>
    <row r="13" spans="1:7" x14ac:dyDescent="0.3">
      <c r="A13" s="1" t="s">
        <v>250</v>
      </c>
      <c r="B13" s="1" t="s">
        <v>277</v>
      </c>
      <c r="C13" s="6">
        <v>44365</v>
      </c>
      <c r="D13" s="6">
        <v>45950</v>
      </c>
      <c r="E13" s="1" t="s">
        <v>278</v>
      </c>
      <c r="F13" s="1" t="s">
        <v>279</v>
      </c>
      <c r="G13" s="1" t="s">
        <v>12</v>
      </c>
    </row>
  </sheetData>
  <mergeCells count="1">
    <mergeCell ref="A1:G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3"/>
  <sheetViews>
    <sheetView workbookViewId="0">
      <selection activeCell="E12" sqref="E12"/>
    </sheetView>
  </sheetViews>
  <sheetFormatPr defaultRowHeight="14.4" x14ac:dyDescent="0.3"/>
  <cols>
    <col min="1" max="1" width="9.6640625" customWidth="1"/>
    <col min="2" max="2" width="16.44140625" customWidth="1"/>
    <col min="3" max="3" width="21.5546875" customWidth="1"/>
    <col min="4" max="4" width="20.77734375" customWidth="1"/>
    <col min="5" max="5" width="12.21875" customWidth="1"/>
    <col min="6" max="6" width="12.33203125" customWidth="1"/>
  </cols>
  <sheetData>
    <row r="1" spans="1:7" ht="17.399999999999999" x14ac:dyDescent="0.3">
      <c r="A1" s="14" t="s">
        <v>288</v>
      </c>
      <c r="B1" s="14"/>
      <c r="C1" s="14"/>
      <c r="D1" s="14"/>
      <c r="E1" s="14"/>
      <c r="F1" s="14"/>
      <c r="G1" s="14"/>
    </row>
    <row r="3" spans="1:7" x14ac:dyDescent="0.3">
      <c r="A3" s="2" t="s">
        <v>69</v>
      </c>
      <c r="B3" s="2" t="s">
        <v>289</v>
      </c>
      <c r="C3" s="2" t="s">
        <v>293</v>
      </c>
      <c r="D3" s="2" t="s">
        <v>294</v>
      </c>
      <c r="E3" s="2" t="s">
        <v>290</v>
      </c>
      <c r="F3" s="2" t="s">
        <v>291</v>
      </c>
      <c r="G3" s="2" t="s">
        <v>292</v>
      </c>
    </row>
    <row r="4" spans="1:7" x14ac:dyDescent="0.3">
      <c r="A4" s="1" t="s">
        <v>227</v>
      </c>
      <c r="B4" s="6">
        <v>46042</v>
      </c>
      <c r="C4" s="1">
        <v>128</v>
      </c>
      <c r="D4" s="1">
        <v>82</v>
      </c>
      <c r="E4" s="1">
        <v>76</v>
      </c>
      <c r="F4" s="1">
        <v>36.700000000000003</v>
      </c>
      <c r="G4" s="1">
        <v>72.5</v>
      </c>
    </row>
    <row r="5" spans="1:7" x14ac:dyDescent="0.3">
      <c r="A5" s="1" t="s">
        <v>233</v>
      </c>
      <c r="B5" s="6">
        <v>46043</v>
      </c>
      <c r="C5" s="1">
        <v>122</v>
      </c>
      <c r="D5" s="1">
        <v>78</v>
      </c>
      <c r="E5" s="1">
        <v>72</v>
      </c>
      <c r="F5" s="1">
        <v>36.5</v>
      </c>
      <c r="G5" s="1">
        <v>65.2</v>
      </c>
    </row>
    <row r="6" spans="1:7" x14ac:dyDescent="0.3">
      <c r="A6" s="1" t="s">
        <v>236</v>
      </c>
      <c r="B6" s="6">
        <v>46044</v>
      </c>
      <c r="C6" s="1">
        <v>130</v>
      </c>
      <c r="D6" s="1">
        <v>84</v>
      </c>
      <c r="E6" s="1">
        <v>80</v>
      </c>
      <c r="F6" s="1">
        <v>36.799999999999997</v>
      </c>
      <c r="G6" s="1">
        <v>81.400000000000006</v>
      </c>
    </row>
    <row r="7" spans="1:7" x14ac:dyDescent="0.3">
      <c r="A7" s="1" t="s">
        <v>238</v>
      </c>
      <c r="B7" s="6">
        <v>46045</v>
      </c>
      <c r="C7" s="1">
        <v>118</v>
      </c>
      <c r="D7" s="1">
        <v>76</v>
      </c>
      <c r="E7" s="1">
        <v>70</v>
      </c>
      <c r="F7" s="1">
        <v>36.6</v>
      </c>
      <c r="G7" s="1">
        <v>68.7</v>
      </c>
    </row>
    <row r="8" spans="1:7" x14ac:dyDescent="0.3">
      <c r="A8" s="1" t="s">
        <v>240</v>
      </c>
      <c r="B8" s="6">
        <v>46046</v>
      </c>
      <c r="C8" s="1">
        <v>135</v>
      </c>
      <c r="D8" s="1">
        <v>86</v>
      </c>
      <c r="E8" s="1">
        <v>82</v>
      </c>
      <c r="F8" s="1">
        <v>36.9</v>
      </c>
      <c r="G8" s="1">
        <v>89.3</v>
      </c>
    </row>
    <row r="9" spans="1:7" x14ac:dyDescent="0.3">
      <c r="A9" s="1" t="s">
        <v>242</v>
      </c>
      <c r="B9" s="6">
        <v>46047</v>
      </c>
      <c r="C9" s="1">
        <v>124</v>
      </c>
      <c r="D9" s="1">
        <v>80</v>
      </c>
      <c r="E9" s="1">
        <v>74</v>
      </c>
      <c r="F9" s="1">
        <v>36.5</v>
      </c>
      <c r="G9" s="1">
        <v>70.099999999999994</v>
      </c>
    </row>
    <row r="10" spans="1:7" x14ac:dyDescent="0.3">
      <c r="A10" s="1" t="s">
        <v>244</v>
      </c>
      <c r="B10" s="6">
        <v>46048</v>
      </c>
      <c r="C10" s="1">
        <v>132</v>
      </c>
      <c r="D10" s="1">
        <v>85</v>
      </c>
      <c r="E10" s="1">
        <v>78</v>
      </c>
      <c r="F10" s="1">
        <v>36.700000000000003</v>
      </c>
      <c r="G10" s="1">
        <v>77.8</v>
      </c>
    </row>
    <row r="11" spans="1:7" x14ac:dyDescent="0.3">
      <c r="A11" s="1" t="s">
        <v>246</v>
      </c>
      <c r="B11" s="6">
        <v>46049</v>
      </c>
      <c r="C11" s="1">
        <v>116</v>
      </c>
      <c r="D11" s="1">
        <v>74</v>
      </c>
      <c r="E11" s="1">
        <v>68</v>
      </c>
      <c r="F11" s="1">
        <v>36.4</v>
      </c>
      <c r="G11" s="1">
        <v>61.5</v>
      </c>
    </row>
    <row r="12" spans="1:7" x14ac:dyDescent="0.3">
      <c r="A12" s="1" t="s">
        <v>248</v>
      </c>
      <c r="B12" s="6">
        <v>46050</v>
      </c>
      <c r="C12" s="1">
        <v>126</v>
      </c>
      <c r="D12" s="1">
        <v>81</v>
      </c>
      <c r="E12" s="1">
        <v>75</v>
      </c>
      <c r="F12" s="1">
        <v>36.6</v>
      </c>
      <c r="G12" s="1">
        <v>74.900000000000006</v>
      </c>
    </row>
    <row r="13" spans="1:7" x14ac:dyDescent="0.3">
      <c r="A13" s="1" t="s">
        <v>250</v>
      </c>
      <c r="B13" s="6">
        <v>46051</v>
      </c>
      <c r="C13" s="1">
        <v>120</v>
      </c>
      <c r="D13" s="1">
        <v>77</v>
      </c>
      <c r="E13" s="1">
        <v>71</v>
      </c>
      <c r="F13" s="1">
        <v>36.5</v>
      </c>
      <c r="G13" s="1">
        <v>66.8</v>
      </c>
    </row>
  </sheetData>
  <mergeCells count="1">
    <mergeCell ref="A1:G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33"/>
  <sheetViews>
    <sheetView workbookViewId="0">
      <selection activeCell="I22" sqref="I22"/>
    </sheetView>
  </sheetViews>
  <sheetFormatPr defaultRowHeight="14.4" x14ac:dyDescent="0.3"/>
  <cols>
    <col min="1" max="1" width="13.5546875" customWidth="1"/>
    <col min="2" max="2" width="15.44140625" customWidth="1"/>
    <col min="3" max="3" width="13.77734375" customWidth="1"/>
    <col min="4" max="4" width="18.44140625" customWidth="1"/>
    <col min="6" max="6" width="15" customWidth="1"/>
  </cols>
  <sheetData>
    <row r="1" spans="1:6" ht="17.399999999999999" x14ac:dyDescent="0.3">
      <c r="A1" s="14" t="s">
        <v>295</v>
      </c>
      <c r="B1" s="14"/>
      <c r="C1" s="14"/>
      <c r="D1" s="14"/>
      <c r="E1" s="14"/>
      <c r="F1" s="14"/>
    </row>
    <row r="3" spans="1:6" x14ac:dyDescent="0.3">
      <c r="A3" s="2" t="s">
        <v>69</v>
      </c>
      <c r="B3" s="2" t="s">
        <v>303</v>
      </c>
      <c r="C3" s="2" t="s">
        <v>296</v>
      </c>
      <c r="D3" s="2" t="s">
        <v>304</v>
      </c>
      <c r="E3" s="2" t="s">
        <v>297</v>
      </c>
      <c r="F3" s="2" t="s">
        <v>305</v>
      </c>
    </row>
    <row r="4" spans="1:6" x14ac:dyDescent="0.3">
      <c r="A4" s="1" t="s">
        <v>227</v>
      </c>
      <c r="B4" s="1" t="s">
        <v>166</v>
      </c>
      <c r="C4" s="6">
        <v>46042</v>
      </c>
      <c r="D4" s="1">
        <v>8.1999999999999993</v>
      </c>
      <c r="E4" s="1" t="s">
        <v>298</v>
      </c>
      <c r="F4" s="11" t="s">
        <v>299</v>
      </c>
    </row>
    <row r="5" spans="1:6" x14ac:dyDescent="0.3">
      <c r="A5" s="1" t="s">
        <v>227</v>
      </c>
      <c r="B5" s="1" t="s">
        <v>300</v>
      </c>
      <c r="C5" s="6">
        <v>46042</v>
      </c>
      <c r="D5" s="1">
        <v>28</v>
      </c>
      <c r="E5" s="1" t="s">
        <v>301</v>
      </c>
      <c r="F5" s="11" t="s">
        <v>306</v>
      </c>
    </row>
    <row r="6" spans="1:6" x14ac:dyDescent="0.3">
      <c r="A6" s="1" t="s">
        <v>227</v>
      </c>
      <c r="B6" s="1" t="s">
        <v>302</v>
      </c>
      <c r="C6" s="6">
        <v>46042</v>
      </c>
      <c r="D6" s="1">
        <v>24</v>
      </c>
      <c r="E6" s="1" t="s">
        <v>301</v>
      </c>
      <c r="F6" s="11" t="s">
        <v>307</v>
      </c>
    </row>
    <row r="7" spans="1:6" x14ac:dyDescent="0.3">
      <c r="A7" s="1" t="s">
        <v>233</v>
      </c>
      <c r="B7" s="1" t="s">
        <v>166</v>
      </c>
      <c r="C7" s="6">
        <v>46043</v>
      </c>
      <c r="D7" s="1">
        <v>7.8</v>
      </c>
      <c r="E7" s="1" t="s">
        <v>298</v>
      </c>
      <c r="F7" s="11" t="s">
        <v>299</v>
      </c>
    </row>
    <row r="8" spans="1:6" x14ac:dyDescent="0.3">
      <c r="A8" s="1" t="s">
        <v>233</v>
      </c>
      <c r="B8" s="1" t="s">
        <v>300</v>
      </c>
      <c r="C8" s="6">
        <v>46043</v>
      </c>
      <c r="D8" s="1">
        <v>31</v>
      </c>
      <c r="E8" s="1" t="s">
        <v>301</v>
      </c>
      <c r="F8" s="11" t="s">
        <v>306</v>
      </c>
    </row>
    <row r="9" spans="1:6" x14ac:dyDescent="0.3">
      <c r="A9" s="1" t="s">
        <v>233</v>
      </c>
      <c r="B9" s="1" t="s">
        <v>302</v>
      </c>
      <c r="C9" s="6">
        <v>46043</v>
      </c>
      <c r="D9" s="1">
        <v>27</v>
      </c>
      <c r="E9" s="1" t="s">
        <v>301</v>
      </c>
      <c r="F9" s="11" t="s">
        <v>307</v>
      </c>
    </row>
    <row r="10" spans="1:6" x14ac:dyDescent="0.3">
      <c r="A10" s="1" t="s">
        <v>236</v>
      </c>
      <c r="B10" s="1" t="s">
        <v>166</v>
      </c>
      <c r="C10" s="6">
        <v>46044</v>
      </c>
      <c r="D10" s="1">
        <v>8.5</v>
      </c>
      <c r="E10" s="1" t="s">
        <v>298</v>
      </c>
      <c r="F10" s="11" t="s">
        <v>299</v>
      </c>
    </row>
    <row r="11" spans="1:6" x14ac:dyDescent="0.3">
      <c r="A11" s="1" t="s">
        <v>236</v>
      </c>
      <c r="B11" s="1" t="s">
        <v>300</v>
      </c>
      <c r="C11" s="6">
        <v>46044</v>
      </c>
      <c r="D11" s="1">
        <v>35</v>
      </c>
      <c r="E11" s="1" t="s">
        <v>301</v>
      </c>
      <c r="F11" s="11" t="s">
        <v>306</v>
      </c>
    </row>
    <row r="12" spans="1:6" x14ac:dyDescent="0.3">
      <c r="A12" s="1" t="s">
        <v>236</v>
      </c>
      <c r="B12" s="1" t="s">
        <v>302</v>
      </c>
      <c r="C12" s="6">
        <v>46044</v>
      </c>
      <c r="D12" s="1">
        <v>30</v>
      </c>
      <c r="E12" s="1" t="s">
        <v>301</v>
      </c>
      <c r="F12" s="11" t="s">
        <v>307</v>
      </c>
    </row>
    <row r="13" spans="1:6" x14ac:dyDescent="0.3">
      <c r="A13" s="1" t="s">
        <v>238</v>
      </c>
      <c r="B13" s="1" t="s">
        <v>166</v>
      </c>
      <c r="C13" s="6">
        <v>46045</v>
      </c>
      <c r="D13" s="1">
        <v>7.6</v>
      </c>
      <c r="E13" s="1" t="s">
        <v>298</v>
      </c>
      <c r="F13" s="11" t="s">
        <v>299</v>
      </c>
    </row>
    <row r="14" spans="1:6" x14ac:dyDescent="0.3">
      <c r="A14" s="1" t="s">
        <v>238</v>
      </c>
      <c r="B14" s="1" t="s">
        <v>300</v>
      </c>
      <c r="C14" s="6">
        <v>46045</v>
      </c>
      <c r="D14" s="1">
        <v>26</v>
      </c>
      <c r="E14" s="1" t="s">
        <v>301</v>
      </c>
      <c r="F14" s="11" t="s">
        <v>306</v>
      </c>
    </row>
    <row r="15" spans="1:6" x14ac:dyDescent="0.3">
      <c r="A15" s="1" t="s">
        <v>238</v>
      </c>
      <c r="B15" s="1" t="s">
        <v>302</v>
      </c>
      <c r="C15" s="6">
        <v>46045</v>
      </c>
      <c r="D15" s="1">
        <v>22</v>
      </c>
      <c r="E15" s="1" t="s">
        <v>301</v>
      </c>
      <c r="F15" s="11" t="s">
        <v>307</v>
      </c>
    </row>
    <row r="16" spans="1:6" x14ac:dyDescent="0.3">
      <c r="A16" s="1" t="s">
        <v>240</v>
      </c>
      <c r="B16" s="1" t="s">
        <v>166</v>
      </c>
      <c r="C16" s="6">
        <v>46046</v>
      </c>
      <c r="D16" s="1">
        <v>8.9</v>
      </c>
      <c r="E16" s="1" t="s">
        <v>298</v>
      </c>
      <c r="F16" s="11" t="s">
        <v>299</v>
      </c>
    </row>
    <row r="17" spans="1:6" x14ac:dyDescent="0.3">
      <c r="A17" s="1" t="s">
        <v>240</v>
      </c>
      <c r="B17" s="1" t="s">
        <v>300</v>
      </c>
      <c r="C17" s="6">
        <v>46046</v>
      </c>
      <c r="D17" s="1">
        <v>42</v>
      </c>
      <c r="E17" s="1" t="s">
        <v>301</v>
      </c>
      <c r="F17" s="11" t="s">
        <v>306</v>
      </c>
    </row>
    <row r="18" spans="1:6" x14ac:dyDescent="0.3">
      <c r="A18" s="1" t="s">
        <v>240</v>
      </c>
      <c r="B18" s="1" t="s">
        <v>302</v>
      </c>
      <c r="C18" s="6">
        <v>46046</v>
      </c>
      <c r="D18" s="1">
        <v>38</v>
      </c>
      <c r="E18" s="1" t="s">
        <v>301</v>
      </c>
      <c r="F18" s="11" t="s">
        <v>307</v>
      </c>
    </row>
    <row r="19" spans="1:6" x14ac:dyDescent="0.3">
      <c r="A19" s="1" t="s">
        <v>242</v>
      </c>
      <c r="B19" s="1" t="s">
        <v>166</v>
      </c>
      <c r="C19" s="6">
        <v>46047</v>
      </c>
      <c r="D19" s="1">
        <v>7.9</v>
      </c>
      <c r="E19" s="1" t="s">
        <v>298</v>
      </c>
      <c r="F19" s="11" t="s">
        <v>299</v>
      </c>
    </row>
    <row r="20" spans="1:6" x14ac:dyDescent="0.3">
      <c r="A20" s="1" t="s">
        <v>242</v>
      </c>
      <c r="B20" s="1" t="s">
        <v>300</v>
      </c>
      <c r="C20" s="6">
        <v>46047</v>
      </c>
      <c r="D20" s="1">
        <v>29</v>
      </c>
      <c r="E20" s="1" t="s">
        <v>301</v>
      </c>
      <c r="F20" s="11" t="s">
        <v>306</v>
      </c>
    </row>
    <row r="21" spans="1:6" x14ac:dyDescent="0.3">
      <c r="A21" s="1" t="s">
        <v>242</v>
      </c>
      <c r="B21" s="1" t="s">
        <v>302</v>
      </c>
      <c r="C21" s="6">
        <v>46047</v>
      </c>
      <c r="D21" s="1">
        <v>25</v>
      </c>
      <c r="E21" s="1" t="s">
        <v>301</v>
      </c>
      <c r="F21" s="11" t="s">
        <v>307</v>
      </c>
    </row>
    <row r="22" spans="1:6" x14ac:dyDescent="0.3">
      <c r="A22" s="1" t="s">
        <v>244</v>
      </c>
      <c r="B22" s="1" t="s">
        <v>166</v>
      </c>
      <c r="C22" s="6">
        <v>46048</v>
      </c>
      <c r="D22" s="1">
        <v>8.3000000000000007</v>
      </c>
      <c r="E22" s="1" t="s">
        <v>298</v>
      </c>
      <c r="F22" s="11" t="s">
        <v>299</v>
      </c>
    </row>
    <row r="23" spans="1:6" x14ac:dyDescent="0.3">
      <c r="A23" s="1" t="s">
        <v>244</v>
      </c>
      <c r="B23" s="1" t="s">
        <v>300</v>
      </c>
      <c r="C23" s="6">
        <v>46048</v>
      </c>
      <c r="D23" s="1">
        <v>33</v>
      </c>
      <c r="E23" s="1" t="s">
        <v>301</v>
      </c>
      <c r="F23" s="11" t="s">
        <v>306</v>
      </c>
    </row>
    <row r="24" spans="1:6" x14ac:dyDescent="0.3">
      <c r="A24" s="1" t="s">
        <v>244</v>
      </c>
      <c r="B24" s="1" t="s">
        <v>302</v>
      </c>
      <c r="C24" s="6">
        <v>46048</v>
      </c>
      <c r="D24" s="1">
        <v>29</v>
      </c>
      <c r="E24" s="1" t="s">
        <v>301</v>
      </c>
      <c r="F24" s="11" t="s">
        <v>307</v>
      </c>
    </row>
    <row r="25" spans="1:6" x14ac:dyDescent="0.3">
      <c r="A25" s="1" t="s">
        <v>246</v>
      </c>
      <c r="B25" s="1" t="s">
        <v>166</v>
      </c>
      <c r="C25" s="6">
        <v>46049</v>
      </c>
      <c r="D25" s="1">
        <v>7.5</v>
      </c>
      <c r="E25" s="1" t="s">
        <v>298</v>
      </c>
      <c r="F25" s="11" t="s">
        <v>299</v>
      </c>
    </row>
    <row r="26" spans="1:6" x14ac:dyDescent="0.3">
      <c r="A26" s="1" t="s">
        <v>246</v>
      </c>
      <c r="B26" s="1" t="s">
        <v>300</v>
      </c>
      <c r="C26" s="6">
        <v>46049</v>
      </c>
      <c r="D26" s="1">
        <v>24</v>
      </c>
      <c r="E26" s="1" t="s">
        <v>301</v>
      </c>
      <c r="F26" s="11" t="s">
        <v>306</v>
      </c>
    </row>
    <row r="27" spans="1:6" x14ac:dyDescent="0.3">
      <c r="A27" s="1" t="s">
        <v>246</v>
      </c>
      <c r="B27" s="1" t="s">
        <v>302</v>
      </c>
      <c r="C27" s="6">
        <v>46049</v>
      </c>
      <c r="D27" s="1">
        <v>21</v>
      </c>
      <c r="E27" s="1" t="s">
        <v>301</v>
      </c>
      <c r="F27" s="11" t="s">
        <v>307</v>
      </c>
    </row>
    <row r="28" spans="1:6" x14ac:dyDescent="0.3">
      <c r="A28" s="1" t="s">
        <v>248</v>
      </c>
      <c r="B28" s="1" t="s">
        <v>166</v>
      </c>
      <c r="C28" s="6">
        <v>46050</v>
      </c>
      <c r="D28" s="1">
        <v>8.1</v>
      </c>
      <c r="E28" s="1" t="s">
        <v>298</v>
      </c>
      <c r="F28" s="11" t="s">
        <v>299</v>
      </c>
    </row>
    <row r="29" spans="1:6" x14ac:dyDescent="0.3">
      <c r="A29" s="1" t="s">
        <v>248</v>
      </c>
      <c r="B29" s="1" t="s">
        <v>300</v>
      </c>
      <c r="C29" s="6">
        <v>46050</v>
      </c>
      <c r="D29" s="1">
        <v>30</v>
      </c>
      <c r="E29" s="1" t="s">
        <v>301</v>
      </c>
      <c r="F29" s="11" t="s">
        <v>306</v>
      </c>
    </row>
    <row r="30" spans="1:6" x14ac:dyDescent="0.3">
      <c r="A30" s="1" t="s">
        <v>248</v>
      </c>
      <c r="B30" s="1" t="s">
        <v>302</v>
      </c>
      <c r="C30" s="6">
        <v>46050</v>
      </c>
      <c r="D30" s="1">
        <v>26</v>
      </c>
      <c r="E30" s="1" t="s">
        <v>301</v>
      </c>
      <c r="F30" s="11" t="s">
        <v>307</v>
      </c>
    </row>
    <row r="31" spans="1:6" x14ac:dyDescent="0.3">
      <c r="A31" s="1" t="s">
        <v>250</v>
      </c>
      <c r="B31" s="1" t="s">
        <v>166</v>
      </c>
      <c r="C31" s="6">
        <v>46051</v>
      </c>
      <c r="D31" s="1">
        <v>7.7</v>
      </c>
      <c r="E31" s="1" t="s">
        <v>298</v>
      </c>
      <c r="F31" s="11" t="s">
        <v>299</v>
      </c>
    </row>
    <row r="32" spans="1:6" x14ac:dyDescent="0.3">
      <c r="A32" s="1" t="s">
        <v>250</v>
      </c>
      <c r="B32" s="1" t="s">
        <v>300</v>
      </c>
      <c r="C32" s="6">
        <v>46051</v>
      </c>
      <c r="D32" s="1">
        <v>27</v>
      </c>
      <c r="E32" s="1" t="s">
        <v>301</v>
      </c>
      <c r="F32" s="11" t="s">
        <v>306</v>
      </c>
    </row>
    <row r="33" spans="1:6" x14ac:dyDescent="0.3">
      <c r="A33" s="1" t="s">
        <v>250</v>
      </c>
      <c r="B33" s="1" t="s">
        <v>302</v>
      </c>
      <c r="C33" s="6">
        <v>46051</v>
      </c>
      <c r="D33" s="1">
        <v>23</v>
      </c>
      <c r="E33" s="1" t="s">
        <v>301</v>
      </c>
      <c r="F33" s="11" t="s">
        <v>307</v>
      </c>
    </row>
  </sheetData>
  <mergeCells count="1">
    <mergeCell ref="A1:F1"/>
  </mergeCells>
  <pageMargins left="0.7" right="0.7" top="0.75" bottom="0.75" header="0.3" footer="0.3"/>
  <ignoredErrors>
    <ignoredError sqref="F5" twoDigitTextYear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23"/>
  <sheetViews>
    <sheetView workbookViewId="0">
      <selection sqref="A1:F1"/>
    </sheetView>
  </sheetViews>
  <sheetFormatPr defaultRowHeight="14.4" x14ac:dyDescent="0.3"/>
  <cols>
    <col min="1" max="1" width="10.6640625" customWidth="1"/>
    <col min="2" max="2" width="15.44140625" customWidth="1"/>
    <col min="4" max="4" width="14.5546875" customWidth="1"/>
    <col min="5" max="5" width="13.6640625" customWidth="1"/>
    <col min="6" max="6" width="19.5546875" customWidth="1"/>
  </cols>
  <sheetData>
    <row r="1" spans="1:6" ht="17.399999999999999" x14ac:dyDescent="0.3">
      <c r="A1" s="14" t="s">
        <v>308</v>
      </c>
      <c r="B1" s="14"/>
      <c r="C1" s="14"/>
      <c r="D1" s="14"/>
      <c r="E1" s="14"/>
      <c r="F1" s="14"/>
    </row>
    <row r="3" spans="1:6" x14ac:dyDescent="0.3">
      <c r="A3" s="2" t="s">
        <v>69</v>
      </c>
      <c r="B3" s="2" t="s">
        <v>289</v>
      </c>
      <c r="C3" s="2" t="s">
        <v>2</v>
      </c>
      <c r="D3" s="2" t="s">
        <v>309</v>
      </c>
      <c r="E3" s="2" t="s">
        <v>310</v>
      </c>
      <c r="F3" s="2" t="s">
        <v>313</v>
      </c>
    </row>
    <row r="4" spans="1:6" x14ac:dyDescent="0.3">
      <c r="A4" s="1" t="s">
        <v>227</v>
      </c>
      <c r="B4" s="6">
        <v>46042</v>
      </c>
      <c r="C4" s="1" t="s">
        <v>311</v>
      </c>
      <c r="D4" s="1">
        <v>8.1999999999999993</v>
      </c>
      <c r="E4" s="1" t="s">
        <v>298</v>
      </c>
      <c r="F4" s="1" t="s">
        <v>314</v>
      </c>
    </row>
    <row r="5" spans="1:6" x14ac:dyDescent="0.3">
      <c r="A5" s="1" t="s">
        <v>227</v>
      </c>
      <c r="B5" s="6">
        <v>46132</v>
      </c>
      <c r="C5" s="1" t="s">
        <v>312</v>
      </c>
      <c r="D5" s="1">
        <v>7.4</v>
      </c>
      <c r="E5" s="1" t="s">
        <v>298</v>
      </c>
      <c r="F5" s="1" t="s">
        <v>314</v>
      </c>
    </row>
    <row r="6" spans="1:6" x14ac:dyDescent="0.3">
      <c r="A6" s="1" t="s">
        <v>233</v>
      </c>
      <c r="B6" s="6">
        <v>46043</v>
      </c>
      <c r="C6" s="1" t="s">
        <v>311</v>
      </c>
      <c r="D6" s="1">
        <v>7.8</v>
      </c>
      <c r="E6" s="1" t="s">
        <v>298</v>
      </c>
      <c r="F6" s="1" t="s">
        <v>314</v>
      </c>
    </row>
    <row r="7" spans="1:6" x14ac:dyDescent="0.3">
      <c r="A7" s="1" t="s">
        <v>233</v>
      </c>
      <c r="B7" s="6">
        <v>46133</v>
      </c>
      <c r="C7" s="1" t="s">
        <v>312</v>
      </c>
      <c r="D7" s="1">
        <v>7.1</v>
      </c>
      <c r="E7" s="1" t="s">
        <v>298</v>
      </c>
      <c r="F7" s="1" t="s">
        <v>314</v>
      </c>
    </row>
    <row r="8" spans="1:6" x14ac:dyDescent="0.3">
      <c r="A8" s="1" t="s">
        <v>236</v>
      </c>
      <c r="B8" s="6">
        <v>46044</v>
      </c>
      <c r="C8" s="1" t="s">
        <v>311</v>
      </c>
      <c r="D8" s="1">
        <v>8.5</v>
      </c>
      <c r="E8" s="1" t="s">
        <v>298</v>
      </c>
      <c r="F8" s="1" t="s">
        <v>314</v>
      </c>
    </row>
    <row r="9" spans="1:6" x14ac:dyDescent="0.3">
      <c r="A9" s="1" t="s">
        <v>236</v>
      </c>
      <c r="B9" s="6">
        <v>46134</v>
      </c>
      <c r="C9" s="1" t="s">
        <v>312</v>
      </c>
      <c r="D9" s="1">
        <v>7.6</v>
      </c>
      <c r="E9" s="1" t="s">
        <v>298</v>
      </c>
      <c r="F9" s="1" t="s">
        <v>314</v>
      </c>
    </row>
    <row r="10" spans="1:6" x14ac:dyDescent="0.3">
      <c r="A10" s="1" t="s">
        <v>238</v>
      </c>
      <c r="B10" s="6">
        <v>46045</v>
      </c>
      <c r="C10" s="1" t="s">
        <v>311</v>
      </c>
      <c r="D10" s="1">
        <v>7.6</v>
      </c>
      <c r="E10" s="1" t="s">
        <v>298</v>
      </c>
      <c r="F10" s="1" t="s">
        <v>314</v>
      </c>
    </row>
    <row r="11" spans="1:6" x14ac:dyDescent="0.3">
      <c r="A11" s="1" t="s">
        <v>238</v>
      </c>
      <c r="B11" s="6">
        <v>46135</v>
      </c>
      <c r="C11" s="1" t="s">
        <v>312</v>
      </c>
      <c r="D11" s="1">
        <v>6.9</v>
      </c>
      <c r="E11" s="1" t="s">
        <v>298</v>
      </c>
      <c r="F11" s="1" t="s">
        <v>314</v>
      </c>
    </row>
    <row r="12" spans="1:6" x14ac:dyDescent="0.3">
      <c r="A12" s="1" t="s">
        <v>240</v>
      </c>
      <c r="B12" s="6">
        <v>46046</v>
      </c>
      <c r="C12" s="1" t="s">
        <v>311</v>
      </c>
      <c r="D12" s="1">
        <v>8.9</v>
      </c>
      <c r="E12" s="1" t="s">
        <v>298</v>
      </c>
      <c r="F12" s="1" t="s">
        <v>314</v>
      </c>
    </row>
    <row r="13" spans="1:6" x14ac:dyDescent="0.3">
      <c r="A13" s="1" t="s">
        <v>240</v>
      </c>
      <c r="B13" s="6">
        <v>46136</v>
      </c>
      <c r="C13" s="1" t="s">
        <v>312</v>
      </c>
      <c r="D13" s="1">
        <v>7.8</v>
      </c>
      <c r="E13" s="1" t="s">
        <v>298</v>
      </c>
      <c r="F13" s="1" t="s">
        <v>314</v>
      </c>
    </row>
    <row r="14" spans="1:6" x14ac:dyDescent="0.3">
      <c r="A14" s="1" t="s">
        <v>242</v>
      </c>
      <c r="B14" s="6">
        <v>46047</v>
      </c>
      <c r="C14" s="1" t="s">
        <v>311</v>
      </c>
      <c r="D14" s="1">
        <v>7.9</v>
      </c>
      <c r="E14" s="1" t="s">
        <v>298</v>
      </c>
      <c r="F14" s="1" t="s">
        <v>314</v>
      </c>
    </row>
    <row r="15" spans="1:6" x14ac:dyDescent="0.3">
      <c r="A15" s="1" t="s">
        <v>242</v>
      </c>
      <c r="B15" s="6">
        <v>46137</v>
      </c>
      <c r="C15" s="1" t="s">
        <v>312</v>
      </c>
      <c r="D15" s="1">
        <v>7</v>
      </c>
      <c r="E15" s="1" t="s">
        <v>298</v>
      </c>
      <c r="F15" s="1" t="s">
        <v>314</v>
      </c>
    </row>
    <row r="16" spans="1:6" x14ac:dyDescent="0.3">
      <c r="A16" s="1" t="s">
        <v>244</v>
      </c>
      <c r="B16" s="6">
        <v>46048</v>
      </c>
      <c r="C16" s="1" t="s">
        <v>311</v>
      </c>
      <c r="D16" s="1">
        <v>8.3000000000000007</v>
      </c>
      <c r="E16" s="1" t="s">
        <v>298</v>
      </c>
      <c r="F16" s="1" t="s">
        <v>314</v>
      </c>
    </row>
    <row r="17" spans="1:6" x14ac:dyDescent="0.3">
      <c r="A17" s="1" t="s">
        <v>244</v>
      </c>
      <c r="B17" s="6">
        <v>46138</v>
      </c>
      <c r="C17" s="1" t="s">
        <v>312</v>
      </c>
      <c r="D17" s="1">
        <v>7.3</v>
      </c>
      <c r="E17" s="1" t="s">
        <v>298</v>
      </c>
      <c r="F17" s="1" t="s">
        <v>314</v>
      </c>
    </row>
    <row r="18" spans="1:6" x14ac:dyDescent="0.3">
      <c r="A18" s="1" t="s">
        <v>246</v>
      </c>
      <c r="B18" s="6">
        <v>46049</v>
      </c>
      <c r="C18" s="1" t="s">
        <v>311</v>
      </c>
      <c r="D18" s="1">
        <v>7.5</v>
      </c>
      <c r="E18" s="1" t="s">
        <v>298</v>
      </c>
      <c r="F18" s="1" t="s">
        <v>314</v>
      </c>
    </row>
    <row r="19" spans="1:6" x14ac:dyDescent="0.3">
      <c r="A19" s="1" t="s">
        <v>246</v>
      </c>
      <c r="B19" s="6">
        <v>46139</v>
      </c>
      <c r="C19" s="1" t="s">
        <v>312</v>
      </c>
      <c r="D19" s="1">
        <v>6.8</v>
      </c>
      <c r="E19" s="1" t="s">
        <v>298</v>
      </c>
      <c r="F19" s="1" t="s">
        <v>314</v>
      </c>
    </row>
    <row r="20" spans="1:6" x14ac:dyDescent="0.3">
      <c r="A20" s="1" t="s">
        <v>248</v>
      </c>
      <c r="B20" s="6">
        <v>46050</v>
      </c>
      <c r="C20" s="1" t="s">
        <v>311</v>
      </c>
      <c r="D20" s="1">
        <v>8.1</v>
      </c>
      <c r="E20" s="1" t="s">
        <v>298</v>
      </c>
      <c r="F20" s="1" t="s">
        <v>314</v>
      </c>
    </row>
    <row r="21" spans="1:6" x14ac:dyDescent="0.3">
      <c r="A21" s="1" t="s">
        <v>248</v>
      </c>
      <c r="B21" s="6">
        <v>46140</v>
      </c>
      <c r="C21" s="1" t="s">
        <v>312</v>
      </c>
      <c r="D21" s="1">
        <v>7.2</v>
      </c>
      <c r="E21" s="1" t="s">
        <v>298</v>
      </c>
      <c r="F21" s="1" t="s">
        <v>314</v>
      </c>
    </row>
    <row r="22" spans="1:6" x14ac:dyDescent="0.3">
      <c r="A22" s="1" t="s">
        <v>250</v>
      </c>
      <c r="B22" s="6">
        <v>46051</v>
      </c>
      <c r="C22" s="1" t="s">
        <v>311</v>
      </c>
      <c r="D22" s="1">
        <v>7.7</v>
      </c>
      <c r="E22" s="1" t="s">
        <v>298</v>
      </c>
      <c r="F22" s="1" t="s">
        <v>314</v>
      </c>
    </row>
    <row r="23" spans="1:6" x14ac:dyDescent="0.3">
      <c r="A23" s="1" t="s">
        <v>250</v>
      </c>
      <c r="B23" s="6">
        <v>46141</v>
      </c>
      <c r="C23" s="1" t="s">
        <v>312</v>
      </c>
      <c r="D23" s="1">
        <v>6.9</v>
      </c>
      <c r="E23" s="1" t="s">
        <v>298</v>
      </c>
      <c r="F23" s="1" t="s">
        <v>314</v>
      </c>
    </row>
  </sheetData>
  <mergeCells count="1">
    <mergeCell ref="A1:F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13"/>
  <sheetViews>
    <sheetView workbookViewId="0">
      <selection activeCell="H7" sqref="H7"/>
    </sheetView>
  </sheetViews>
  <sheetFormatPr defaultRowHeight="14.4" x14ac:dyDescent="0.3"/>
  <cols>
    <col min="1" max="1" width="11.33203125" customWidth="1"/>
    <col min="2" max="2" width="15.5546875" customWidth="1"/>
    <col min="3" max="3" width="12" customWidth="1"/>
    <col min="4" max="4" width="12.88671875" customWidth="1"/>
    <col min="5" max="5" width="11.33203125" customWidth="1"/>
    <col min="7" max="7" width="17.33203125" customWidth="1"/>
    <col min="8" max="8" width="19.33203125" customWidth="1"/>
    <col min="9" max="9" width="13" customWidth="1"/>
  </cols>
  <sheetData>
    <row r="1" spans="1:9" ht="17.399999999999999" x14ac:dyDescent="0.3">
      <c r="A1" s="14" t="s">
        <v>315</v>
      </c>
      <c r="B1" s="14"/>
      <c r="C1" s="14"/>
      <c r="D1" s="14"/>
      <c r="E1" s="14"/>
      <c r="F1" s="14"/>
      <c r="G1" s="14"/>
      <c r="H1" s="14"/>
      <c r="I1" s="14"/>
    </row>
    <row r="3" spans="1:9" ht="28.8" x14ac:dyDescent="0.3">
      <c r="A3" s="2" t="s">
        <v>69</v>
      </c>
      <c r="B3" s="2" t="s">
        <v>316</v>
      </c>
      <c r="C3" s="2" t="s">
        <v>265</v>
      </c>
      <c r="D3" s="2" t="s">
        <v>317</v>
      </c>
      <c r="E3" s="2" t="s">
        <v>67</v>
      </c>
      <c r="F3" s="2" t="s">
        <v>318</v>
      </c>
      <c r="G3" s="5" t="s">
        <v>319</v>
      </c>
      <c r="H3" s="2" t="s">
        <v>320</v>
      </c>
      <c r="I3" s="2" t="s">
        <v>321</v>
      </c>
    </row>
    <row r="4" spans="1:9" x14ac:dyDescent="0.3">
      <c r="A4" s="1" t="s">
        <v>227</v>
      </c>
      <c r="B4" s="1" t="s">
        <v>322</v>
      </c>
      <c r="C4" s="6">
        <v>46058</v>
      </c>
      <c r="D4" s="6">
        <v>46059</v>
      </c>
      <c r="E4" s="1" t="s">
        <v>323</v>
      </c>
      <c r="F4" s="1" t="s">
        <v>12</v>
      </c>
      <c r="G4" s="1" t="s">
        <v>324</v>
      </c>
      <c r="H4" s="1" t="s">
        <v>325</v>
      </c>
      <c r="I4" s="1" t="s">
        <v>326</v>
      </c>
    </row>
    <row r="5" spans="1:9" x14ac:dyDescent="0.3">
      <c r="A5" s="1" t="s">
        <v>233</v>
      </c>
      <c r="B5" s="1" t="s">
        <v>327</v>
      </c>
      <c r="C5" s="6">
        <v>46063</v>
      </c>
      <c r="D5" s="6">
        <v>46065</v>
      </c>
      <c r="E5" s="1" t="s">
        <v>323</v>
      </c>
      <c r="F5" s="1" t="s">
        <v>12</v>
      </c>
      <c r="G5" s="1" t="s">
        <v>328</v>
      </c>
      <c r="H5" s="1" t="s">
        <v>325</v>
      </c>
      <c r="I5" s="1" t="s">
        <v>326</v>
      </c>
    </row>
    <row r="6" spans="1:9" x14ac:dyDescent="0.3">
      <c r="A6" s="1" t="s">
        <v>236</v>
      </c>
      <c r="B6" s="1" t="s">
        <v>322</v>
      </c>
      <c r="C6" s="6">
        <v>46068</v>
      </c>
      <c r="D6" s="6">
        <v>46069</v>
      </c>
      <c r="E6" s="1" t="s">
        <v>323</v>
      </c>
      <c r="F6" s="1" t="s">
        <v>12</v>
      </c>
      <c r="G6" s="1" t="s">
        <v>324</v>
      </c>
      <c r="H6" s="1" t="s">
        <v>325</v>
      </c>
      <c r="I6" s="1" t="s">
        <v>326</v>
      </c>
    </row>
    <row r="7" spans="1:9" ht="28.8" x14ac:dyDescent="0.3">
      <c r="A7" s="1" t="s">
        <v>238</v>
      </c>
      <c r="B7" s="1" t="s">
        <v>329</v>
      </c>
      <c r="C7" s="6">
        <v>46073</v>
      </c>
      <c r="D7" s="6">
        <v>46074</v>
      </c>
      <c r="E7" s="1" t="s">
        <v>330</v>
      </c>
      <c r="F7" s="1" t="s">
        <v>12</v>
      </c>
      <c r="G7" s="1" t="s">
        <v>328</v>
      </c>
      <c r="H7" s="4" t="s">
        <v>331</v>
      </c>
      <c r="I7" s="1" t="s">
        <v>326</v>
      </c>
    </row>
    <row r="8" spans="1:9" x14ac:dyDescent="0.3">
      <c r="A8" s="1" t="s">
        <v>240</v>
      </c>
      <c r="B8" s="1" t="s">
        <v>322</v>
      </c>
      <c r="C8" s="6">
        <v>46078</v>
      </c>
      <c r="D8" s="6">
        <v>46079</v>
      </c>
      <c r="E8" s="1" t="s">
        <v>323</v>
      </c>
      <c r="F8" s="1" t="s">
        <v>12</v>
      </c>
      <c r="G8" s="1" t="s">
        <v>324</v>
      </c>
      <c r="H8" s="1" t="s">
        <v>325</v>
      </c>
      <c r="I8" s="1" t="s">
        <v>326</v>
      </c>
    </row>
    <row r="9" spans="1:9" x14ac:dyDescent="0.3">
      <c r="A9" s="1" t="s">
        <v>242</v>
      </c>
      <c r="B9" s="1" t="s">
        <v>327</v>
      </c>
      <c r="C9" s="6">
        <v>46082</v>
      </c>
      <c r="D9" s="6">
        <v>46084</v>
      </c>
      <c r="E9" s="1" t="s">
        <v>323</v>
      </c>
      <c r="F9" s="1" t="s">
        <v>12</v>
      </c>
      <c r="G9" s="1" t="s">
        <v>328</v>
      </c>
      <c r="H9" s="1" t="s">
        <v>325</v>
      </c>
      <c r="I9" s="1" t="s">
        <v>326</v>
      </c>
    </row>
    <row r="10" spans="1:9" ht="28.8" x14ac:dyDescent="0.3">
      <c r="A10" s="1" t="s">
        <v>244</v>
      </c>
      <c r="B10" s="4" t="s">
        <v>332</v>
      </c>
      <c r="C10" s="6">
        <v>46086</v>
      </c>
      <c r="D10" s="6">
        <v>46091</v>
      </c>
      <c r="E10" s="1" t="s">
        <v>330</v>
      </c>
      <c r="F10" s="1" t="s">
        <v>12</v>
      </c>
      <c r="G10" s="1" t="s">
        <v>324</v>
      </c>
      <c r="H10" s="4" t="s">
        <v>333</v>
      </c>
      <c r="I10" s="1" t="s">
        <v>326</v>
      </c>
    </row>
    <row r="11" spans="1:9" x14ac:dyDescent="0.3">
      <c r="A11" s="1" t="s">
        <v>246</v>
      </c>
      <c r="B11" s="1" t="s">
        <v>322</v>
      </c>
      <c r="C11" s="6">
        <v>46089</v>
      </c>
      <c r="D11" s="6">
        <v>46090</v>
      </c>
      <c r="E11" s="1" t="s">
        <v>323</v>
      </c>
      <c r="F11" s="1" t="s">
        <v>12</v>
      </c>
      <c r="G11" s="1" t="s">
        <v>324</v>
      </c>
      <c r="H11" s="1" t="s">
        <v>325</v>
      </c>
      <c r="I11" s="1" t="s">
        <v>326</v>
      </c>
    </row>
    <row r="12" spans="1:9" x14ac:dyDescent="0.3">
      <c r="A12" s="1" t="s">
        <v>248</v>
      </c>
      <c r="B12" s="1" t="s">
        <v>329</v>
      </c>
      <c r="C12" s="6">
        <v>46093</v>
      </c>
      <c r="D12" s="6">
        <v>46094</v>
      </c>
      <c r="E12" s="1" t="s">
        <v>323</v>
      </c>
      <c r="F12" s="1" t="s">
        <v>12</v>
      </c>
      <c r="G12" s="1" t="s">
        <v>328</v>
      </c>
      <c r="H12" s="1" t="s">
        <v>325</v>
      </c>
      <c r="I12" s="1" t="s">
        <v>326</v>
      </c>
    </row>
    <row r="13" spans="1:9" x14ac:dyDescent="0.3">
      <c r="A13" s="1" t="s">
        <v>250</v>
      </c>
      <c r="B13" s="1" t="s">
        <v>327</v>
      </c>
      <c r="C13" s="6">
        <v>46096</v>
      </c>
      <c r="D13" s="6">
        <v>46098</v>
      </c>
      <c r="E13" s="1" t="s">
        <v>323</v>
      </c>
      <c r="F13" s="1" t="s">
        <v>12</v>
      </c>
      <c r="G13" s="1" t="s">
        <v>328</v>
      </c>
      <c r="H13" s="1" t="s">
        <v>325</v>
      </c>
      <c r="I13" s="1" t="s">
        <v>326</v>
      </c>
    </row>
  </sheetData>
  <mergeCells count="1">
    <mergeCell ref="A1:I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13"/>
  <sheetViews>
    <sheetView workbookViewId="0">
      <selection activeCell="E20" sqref="E20"/>
    </sheetView>
  </sheetViews>
  <sheetFormatPr defaultRowHeight="14.4" x14ac:dyDescent="0.3"/>
  <cols>
    <col min="1" max="1" width="12.44140625" customWidth="1"/>
    <col min="2" max="2" width="16.88671875" customWidth="1"/>
    <col min="3" max="3" width="18.44140625" customWidth="1"/>
    <col min="5" max="5" width="19.5546875" customWidth="1"/>
    <col min="6" max="6" width="21.6640625" customWidth="1"/>
  </cols>
  <sheetData>
    <row r="1" spans="1:6" ht="17.399999999999999" x14ac:dyDescent="0.3">
      <c r="A1" s="14" t="s">
        <v>334</v>
      </c>
      <c r="B1" s="14"/>
      <c r="C1" s="14"/>
      <c r="D1" s="14"/>
      <c r="E1" s="14"/>
      <c r="F1" s="14"/>
    </row>
    <row r="3" spans="1:6" x14ac:dyDescent="0.3">
      <c r="A3" s="2" t="s">
        <v>69</v>
      </c>
      <c r="B3" s="2" t="s">
        <v>335</v>
      </c>
      <c r="C3" s="2" t="s">
        <v>336</v>
      </c>
      <c r="D3" s="2" t="s">
        <v>337</v>
      </c>
      <c r="E3" s="2" t="s">
        <v>338</v>
      </c>
      <c r="F3" s="2" t="s">
        <v>339</v>
      </c>
    </row>
    <row r="4" spans="1:6" x14ac:dyDescent="0.3">
      <c r="A4" s="1" t="s">
        <v>227</v>
      </c>
      <c r="B4" s="6">
        <v>46043</v>
      </c>
      <c r="C4" s="1">
        <v>100</v>
      </c>
      <c r="D4" s="1" t="s">
        <v>340</v>
      </c>
      <c r="E4" s="1" t="s">
        <v>341</v>
      </c>
      <c r="F4" s="1" t="s">
        <v>342</v>
      </c>
    </row>
    <row r="5" spans="1:6" x14ac:dyDescent="0.3">
      <c r="A5" s="1" t="s">
        <v>233</v>
      </c>
      <c r="B5" s="6">
        <v>46044</v>
      </c>
      <c r="C5" s="1">
        <v>100</v>
      </c>
      <c r="D5" s="1" t="s">
        <v>340</v>
      </c>
      <c r="E5" s="1" t="s">
        <v>341</v>
      </c>
      <c r="F5" s="1" t="s">
        <v>342</v>
      </c>
    </row>
    <row r="6" spans="1:6" x14ac:dyDescent="0.3">
      <c r="A6" s="1" t="s">
        <v>236</v>
      </c>
      <c r="B6" s="6">
        <v>46045</v>
      </c>
      <c r="C6" s="1">
        <v>100</v>
      </c>
      <c r="D6" s="1" t="s">
        <v>340</v>
      </c>
      <c r="E6" s="1" t="s">
        <v>341</v>
      </c>
      <c r="F6" s="1" t="s">
        <v>342</v>
      </c>
    </row>
    <row r="7" spans="1:6" x14ac:dyDescent="0.3">
      <c r="A7" s="1" t="s">
        <v>238</v>
      </c>
      <c r="B7" s="6">
        <v>46046</v>
      </c>
      <c r="C7" s="1">
        <v>100</v>
      </c>
      <c r="D7" s="1" t="s">
        <v>340</v>
      </c>
      <c r="E7" s="1" t="s">
        <v>341</v>
      </c>
      <c r="F7" s="1" t="s">
        <v>342</v>
      </c>
    </row>
    <row r="8" spans="1:6" x14ac:dyDescent="0.3">
      <c r="A8" s="1" t="s">
        <v>240</v>
      </c>
      <c r="B8" s="6">
        <v>46047</v>
      </c>
      <c r="C8" s="1">
        <v>100</v>
      </c>
      <c r="D8" s="1" t="s">
        <v>340</v>
      </c>
      <c r="E8" s="1" t="s">
        <v>341</v>
      </c>
      <c r="F8" s="1" t="s">
        <v>342</v>
      </c>
    </row>
    <row r="9" spans="1:6" x14ac:dyDescent="0.3">
      <c r="A9" s="1" t="s">
        <v>242</v>
      </c>
      <c r="B9" s="6">
        <v>46048</v>
      </c>
      <c r="C9" s="1">
        <v>100</v>
      </c>
      <c r="D9" s="1" t="s">
        <v>340</v>
      </c>
      <c r="E9" s="1" t="s">
        <v>341</v>
      </c>
      <c r="F9" s="1" t="s">
        <v>342</v>
      </c>
    </row>
    <row r="10" spans="1:6" x14ac:dyDescent="0.3">
      <c r="A10" s="1" t="s">
        <v>244</v>
      </c>
      <c r="B10" s="6">
        <v>46049</v>
      </c>
      <c r="C10" s="1">
        <v>100</v>
      </c>
      <c r="D10" s="1" t="s">
        <v>340</v>
      </c>
      <c r="E10" s="1" t="s">
        <v>341</v>
      </c>
      <c r="F10" s="1" t="s">
        <v>342</v>
      </c>
    </row>
    <row r="11" spans="1:6" x14ac:dyDescent="0.3">
      <c r="A11" s="1" t="s">
        <v>246</v>
      </c>
      <c r="B11" s="6">
        <v>46050</v>
      </c>
      <c r="C11" s="1">
        <v>100</v>
      </c>
      <c r="D11" s="1" t="s">
        <v>340</v>
      </c>
      <c r="E11" s="1" t="s">
        <v>341</v>
      </c>
      <c r="F11" s="1" t="s">
        <v>342</v>
      </c>
    </row>
    <row r="12" spans="1:6" x14ac:dyDescent="0.3">
      <c r="A12" s="1" t="s">
        <v>248</v>
      </c>
      <c r="B12" s="6">
        <v>46051</v>
      </c>
      <c r="C12" s="1">
        <v>100</v>
      </c>
      <c r="D12" s="1" t="s">
        <v>340</v>
      </c>
      <c r="E12" s="1" t="s">
        <v>341</v>
      </c>
      <c r="F12" s="1" t="s">
        <v>342</v>
      </c>
    </row>
    <row r="13" spans="1:6" x14ac:dyDescent="0.3">
      <c r="A13" s="1" t="s">
        <v>250</v>
      </c>
      <c r="B13" s="6">
        <v>46052</v>
      </c>
      <c r="C13" s="1">
        <v>100</v>
      </c>
      <c r="D13" s="1" t="s">
        <v>340</v>
      </c>
      <c r="E13" s="1" t="s">
        <v>341</v>
      </c>
      <c r="F13" s="1" t="s">
        <v>342</v>
      </c>
    </row>
  </sheetData>
  <mergeCells count="1">
    <mergeCell ref="A1:F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13"/>
  <sheetViews>
    <sheetView workbookViewId="0">
      <selection activeCell="D27" sqref="D27"/>
    </sheetView>
  </sheetViews>
  <sheetFormatPr defaultRowHeight="14.4" x14ac:dyDescent="0.3"/>
  <cols>
    <col min="1" max="1" width="11.77734375" customWidth="1"/>
    <col min="2" max="2" width="22.109375" customWidth="1"/>
    <col min="3" max="3" width="17.33203125" customWidth="1"/>
    <col min="4" max="4" width="23.109375" customWidth="1"/>
    <col min="5" max="5" width="16" customWidth="1"/>
  </cols>
  <sheetData>
    <row r="1" spans="1:5" ht="17.399999999999999" x14ac:dyDescent="0.3">
      <c r="A1" s="14" t="s">
        <v>343</v>
      </c>
      <c r="B1" s="14"/>
      <c r="C1" s="14"/>
      <c r="D1" s="14"/>
      <c r="E1" s="14"/>
    </row>
    <row r="3" spans="1:5" x14ac:dyDescent="0.3">
      <c r="A3" s="2" t="s">
        <v>69</v>
      </c>
      <c r="B3" s="2" t="s">
        <v>344</v>
      </c>
      <c r="C3" s="2" t="s">
        <v>345</v>
      </c>
      <c r="D3" s="2" t="s">
        <v>346</v>
      </c>
      <c r="E3" s="2" t="s">
        <v>347</v>
      </c>
    </row>
    <row r="4" spans="1:5" x14ac:dyDescent="0.3">
      <c r="A4" s="1" t="s">
        <v>227</v>
      </c>
      <c r="B4" s="1" t="s">
        <v>314</v>
      </c>
      <c r="C4" s="6">
        <v>46167</v>
      </c>
      <c r="D4" s="1" t="s">
        <v>348</v>
      </c>
      <c r="E4" s="1" t="s">
        <v>47</v>
      </c>
    </row>
    <row r="5" spans="1:5" x14ac:dyDescent="0.3">
      <c r="A5" s="1" t="s">
        <v>233</v>
      </c>
      <c r="B5" s="1" t="s">
        <v>314</v>
      </c>
      <c r="C5" s="6">
        <v>46168</v>
      </c>
      <c r="D5" s="1" t="s">
        <v>348</v>
      </c>
      <c r="E5" s="1" t="s">
        <v>47</v>
      </c>
    </row>
    <row r="6" spans="1:5" x14ac:dyDescent="0.3">
      <c r="A6" s="1" t="s">
        <v>236</v>
      </c>
      <c r="B6" s="1" t="s">
        <v>314</v>
      </c>
      <c r="C6" s="6">
        <v>46169</v>
      </c>
      <c r="D6" s="1" t="s">
        <v>348</v>
      </c>
      <c r="E6" s="1" t="s">
        <v>47</v>
      </c>
    </row>
    <row r="7" spans="1:5" x14ac:dyDescent="0.3">
      <c r="A7" s="1" t="s">
        <v>238</v>
      </c>
      <c r="B7" s="1" t="s">
        <v>314</v>
      </c>
      <c r="C7" s="6">
        <v>46170</v>
      </c>
      <c r="D7" s="1" t="s">
        <v>348</v>
      </c>
      <c r="E7" s="1" t="s">
        <v>47</v>
      </c>
    </row>
    <row r="8" spans="1:5" x14ac:dyDescent="0.3">
      <c r="A8" s="1" t="s">
        <v>240</v>
      </c>
      <c r="B8" s="1" t="s">
        <v>314</v>
      </c>
      <c r="C8" s="6">
        <v>46171</v>
      </c>
      <c r="D8" s="1" t="s">
        <v>348</v>
      </c>
      <c r="E8" s="1" t="s">
        <v>47</v>
      </c>
    </row>
    <row r="9" spans="1:5" x14ac:dyDescent="0.3">
      <c r="A9" s="1" t="s">
        <v>242</v>
      </c>
      <c r="B9" s="1" t="s">
        <v>314</v>
      </c>
      <c r="C9" s="6">
        <v>46172</v>
      </c>
      <c r="D9" s="1" t="s">
        <v>348</v>
      </c>
      <c r="E9" s="1" t="s">
        <v>47</v>
      </c>
    </row>
    <row r="10" spans="1:5" x14ac:dyDescent="0.3">
      <c r="A10" s="1" t="s">
        <v>244</v>
      </c>
      <c r="B10" s="1" t="s">
        <v>314</v>
      </c>
      <c r="C10" s="6">
        <v>46173</v>
      </c>
      <c r="D10" s="1" t="s">
        <v>348</v>
      </c>
      <c r="E10" s="1" t="s">
        <v>47</v>
      </c>
    </row>
    <row r="11" spans="1:5" x14ac:dyDescent="0.3">
      <c r="A11" s="1" t="s">
        <v>246</v>
      </c>
      <c r="B11" s="1" t="s">
        <v>314</v>
      </c>
      <c r="C11" s="6">
        <v>46174</v>
      </c>
      <c r="D11" s="1" t="s">
        <v>348</v>
      </c>
      <c r="E11" s="1" t="s">
        <v>47</v>
      </c>
    </row>
    <row r="12" spans="1:5" x14ac:dyDescent="0.3">
      <c r="A12" s="1" t="s">
        <v>248</v>
      </c>
      <c r="B12" s="1" t="s">
        <v>314</v>
      </c>
      <c r="C12" s="6">
        <v>46175</v>
      </c>
      <c r="D12" s="1" t="s">
        <v>348</v>
      </c>
      <c r="E12" s="1" t="s">
        <v>47</v>
      </c>
    </row>
    <row r="13" spans="1:5" x14ac:dyDescent="0.3">
      <c r="A13" s="1" t="s">
        <v>250</v>
      </c>
      <c r="B13" s="1" t="s">
        <v>314</v>
      </c>
      <c r="C13" s="6">
        <v>46176</v>
      </c>
      <c r="D13" s="1" t="s">
        <v>348</v>
      </c>
      <c r="E13" s="1" t="s">
        <v>47</v>
      </c>
    </row>
  </sheetData>
  <mergeCells count="1">
    <mergeCell ref="A1:E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13"/>
  <sheetViews>
    <sheetView workbookViewId="0">
      <selection sqref="A1:I1"/>
    </sheetView>
  </sheetViews>
  <sheetFormatPr defaultRowHeight="14.4" x14ac:dyDescent="0.3"/>
  <cols>
    <col min="2" max="2" width="10.21875" customWidth="1"/>
    <col min="3" max="3" width="31" customWidth="1"/>
    <col min="4" max="4" width="24.109375" customWidth="1"/>
    <col min="5" max="5" width="15" customWidth="1"/>
    <col min="6" max="6" width="82.6640625" customWidth="1"/>
    <col min="7" max="7" width="15.33203125" customWidth="1"/>
    <col min="8" max="8" width="43.109375" customWidth="1"/>
    <col min="9" max="9" width="14.77734375" customWidth="1"/>
  </cols>
  <sheetData>
    <row r="1" spans="1:10" ht="17.399999999999999" x14ac:dyDescent="0.3">
      <c r="A1" s="14" t="s">
        <v>499</v>
      </c>
      <c r="B1" s="14"/>
      <c r="C1" s="14"/>
      <c r="D1" s="14"/>
      <c r="E1" s="14"/>
      <c r="F1" s="14"/>
      <c r="G1" s="14"/>
      <c r="H1" s="14"/>
      <c r="I1" s="14"/>
    </row>
    <row r="3" spans="1:10" x14ac:dyDescent="0.3">
      <c r="A3" s="2" t="s">
        <v>472</v>
      </c>
      <c r="B3" s="2" t="s">
        <v>69</v>
      </c>
      <c r="C3" s="2" t="s">
        <v>473</v>
      </c>
      <c r="D3" s="2" t="s">
        <v>474</v>
      </c>
      <c r="E3" s="2" t="s">
        <v>59</v>
      </c>
      <c r="F3" s="2" t="s">
        <v>475</v>
      </c>
      <c r="G3" s="2" t="s">
        <v>476</v>
      </c>
      <c r="H3" s="2" t="s">
        <v>477</v>
      </c>
      <c r="I3" s="2" t="s">
        <v>478</v>
      </c>
      <c r="J3" s="3"/>
    </row>
    <row r="4" spans="1:10" x14ac:dyDescent="0.3">
      <c r="A4" s="1" t="s">
        <v>479</v>
      </c>
      <c r="B4" s="1" t="s">
        <v>227</v>
      </c>
      <c r="C4" s="1" t="s">
        <v>21</v>
      </c>
      <c r="D4" s="1" t="s">
        <v>127</v>
      </c>
      <c r="E4" s="1" t="s">
        <v>126</v>
      </c>
      <c r="F4" s="1" t="s">
        <v>480</v>
      </c>
      <c r="G4" s="1" t="s">
        <v>510</v>
      </c>
      <c r="H4" s="1" t="s">
        <v>500</v>
      </c>
      <c r="I4" s="6">
        <v>46028</v>
      </c>
    </row>
    <row r="5" spans="1:10" x14ac:dyDescent="0.3">
      <c r="A5" s="1" t="s">
        <v>481</v>
      </c>
      <c r="B5" s="1" t="s">
        <v>233</v>
      </c>
      <c r="C5" s="1" t="s">
        <v>24</v>
      </c>
      <c r="D5" s="1" t="s">
        <v>264</v>
      </c>
      <c r="E5" s="1" t="s">
        <v>131</v>
      </c>
      <c r="F5" s="1" t="s">
        <v>482</v>
      </c>
      <c r="G5" s="1" t="s">
        <v>510</v>
      </c>
      <c r="H5" s="1" t="s">
        <v>501</v>
      </c>
      <c r="I5" s="6">
        <v>46029</v>
      </c>
    </row>
    <row r="6" spans="1:10" x14ac:dyDescent="0.3">
      <c r="A6" s="1" t="s">
        <v>483</v>
      </c>
      <c r="B6" s="1" t="s">
        <v>236</v>
      </c>
      <c r="C6" s="1" t="s">
        <v>30</v>
      </c>
      <c r="D6" s="1" t="s">
        <v>265</v>
      </c>
      <c r="E6" s="1" t="s">
        <v>136</v>
      </c>
      <c r="F6" s="1" t="s">
        <v>484</v>
      </c>
      <c r="G6" s="1" t="s">
        <v>510</v>
      </c>
      <c r="H6" s="1" t="s">
        <v>502</v>
      </c>
      <c r="I6" s="6">
        <v>46030</v>
      </c>
    </row>
    <row r="7" spans="1:10" x14ac:dyDescent="0.3">
      <c r="A7" s="1" t="s">
        <v>485</v>
      </c>
      <c r="B7" s="1" t="s">
        <v>238</v>
      </c>
      <c r="C7" s="1" t="s">
        <v>30</v>
      </c>
      <c r="D7" s="1" t="s">
        <v>265</v>
      </c>
      <c r="E7" s="1" t="s">
        <v>141</v>
      </c>
      <c r="F7" s="1" t="s">
        <v>486</v>
      </c>
      <c r="G7" s="1" t="s">
        <v>510</v>
      </c>
      <c r="H7" s="1" t="s">
        <v>503</v>
      </c>
      <c r="I7" s="6">
        <v>46031</v>
      </c>
    </row>
    <row r="8" spans="1:10" x14ac:dyDescent="0.3">
      <c r="A8" s="1" t="s">
        <v>487</v>
      </c>
      <c r="B8" s="1" t="s">
        <v>240</v>
      </c>
      <c r="C8" s="1" t="s">
        <v>33</v>
      </c>
      <c r="D8" s="1" t="s">
        <v>147</v>
      </c>
      <c r="E8" s="1" t="s">
        <v>146</v>
      </c>
      <c r="F8" s="1" t="s">
        <v>488</v>
      </c>
      <c r="G8" s="1" t="s">
        <v>510</v>
      </c>
      <c r="H8" s="1" t="s">
        <v>504</v>
      </c>
      <c r="I8" s="6">
        <v>46032</v>
      </c>
    </row>
    <row r="9" spans="1:10" x14ac:dyDescent="0.3">
      <c r="A9" s="1" t="s">
        <v>489</v>
      </c>
      <c r="B9" s="1" t="s">
        <v>242</v>
      </c>
      <c r="C9" s="1" t="s">
        <v>33</v>
      </c>
      <c r="D9" s="1" t="s">
        <v>152</v>
      </c>
      <c r="E9" s="1" t="s">
        <v>151</v>
      </c>
      <c r="F9" s="1" t="s">
        <v>490</v>
      </c>
      <c r="G9" s="1" t="s">
        <v>510</v>
      </c>
      <c r="H9" s="1" t="s">
        <v>505</v>
      </c>
      <c r="I9" s="6">
        <v>46033</v>
      </c>
    </row>
    <row r="10" spans="1:10" x14ac:dyDescent="0.3">
      <c r="A10" s="1" t="s">
        <v>491</v>
      </c>
      <c r="B10" s="1" t="s">
        <v>244</v>
      </c>
      <c r="C10" s="1" t="s">
        <v>33</v>
      </c>
      <c r="D10" s="1" t="s">
        <v>147</v>
      </c>
      <c r="E10" s="1" t="s">
        <v>155</v>
      </c>
      <c r="F10" s="1" t="s">
        <v>492</v>
      </c>
      <c r="G10" s="1" t="s">
        <v>510</v>
      </c>
      <c r="H10" s="1" t="s">
        <v>506</v>
      </c>
      <c r="I10" s="6">
        <v>46034</v>
      </c>
    </row>
    <row r="11" spans="1:10" x14ac:dyDescent="0.3">
      <c r="A11" s="1" t="s">
        <v>493</v>
      </c>
      <c r="B11" s="1" t="s">
        <v>246</v>
      </c>
      <c r="C11" s="1" t="s">
        <v>37</v>
      </c>
      <c r="D11" s="1" t="s">
        <v>166</v>
      </c>
      <c r="E11" s="1" t="s">
        <v>165</v>
      </c>
      <c r="F11" s="1" t="s">
        <v>494</v>
      </c>
      <c r="G11" s="1" t="s">
        <v>510</v>
      </c>
      <c r="H11" s="1" t="s">
        <v>507</v>
      </c>
      <c r="I11" s="6">
        <v>46035</v>
      </c>
    </row>
    <row r="12" spans="1:10" x14ac:dyDescent="0.3">
      <c r="A12" s="1" t="s">
        <v>495</v>
      </c>
      <c r="B12" s="1" t="s">
        <v>248</v>
      </c>
      <c r="C12" s="1" t="s">
        <v>46</v>
      </c>
      <c r="D12" s="1" t="s">
        <v>317</v>
      </c>
      <c r="E12" s="1" t="s">
        <v>192</v>
      </c>
      <c r="F12" s="1" t="s">
        <v>496</v>
      </c>
      <c r="G12" s="1" t="s">
        <v>510</v>
      </c>
      <c r="H12" s="1" t="s">
        <v>508</v>
      </c>
      <c r="I12" s="6">
        <v>46036</v>
      </c>
    </row>
    <row r="13" spans="1:10" x14ac:dyDescent="0.3">
      <c r="A13" s="1" t="s">
        <v>497</v>
      </c>
      <c r="B13" s="1" t="s">
        <v>250</v>
      </c>
      <c r="C13" s="1" t="s">
        <v>50</v>
      </c>
      <c r="D13" s="1" t="s">
        <v>339</v>
      </c>
      <c r="E13" s="1" t="s">
        <v>212</v>
      </c>
      <c r="F13" s="1" t="s">
        <v>498</v>
      </c>
      <c r="G13" s="1" t="s">
        <v>510</v>
      </c>
      <c r="H13" s="1" t="s">
        <v>509</v>
      </c>
      <c r="I13" s="6">
        <v>46037</v>
      </c>
    </row>
  </sheetData>
  <mergeCells count="1">
    <mergeCell ref="A1:I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13"/>
  <sheetViews>
    <sheetView workbookViewId="0">
      <selection sqref="A1:H1"/>
    </sheetView>
  </sheetViews>
  <sheetFormatPr defaultRowHeight="14.4" x14ac:dyDescent="0.3"/>
  <cols>
    <col min="1" max="1" width="12.44140625" customWidth="1"/>
    <col min="3" max="3" width="11.44140625" customWidth="1"/>
    <col min="4" max="4" width="30.109375" customWidth="1"/>
    <col min="5" max="5" width="23.109375" customWidth="1"/>
    <col min="6" max="7" width="15.21875" customWidth="1"/>
    <col min="8" max="8" width="14" customWidth="1"/>
  </cols>
  <sheetData>
    <row r="1" spans="1:8" ht="17.399999999999999" x14ac:dyDescent="0.3">
      <c r="A1" s="14" t="s">
        <v>526</v>
      </c>
      <c r="B1" s="14"/>
      <c r="C1" s="14"/>
      <c r="D1" s="14"/>
      <c r="E1" s="14"/>
      <c r="F1" s="14"/>
      <c r="G1" s="14"/>
      <c r="H1" s="14"/>
    </row>
    <row r="3" spans="1:8" x14ac:dyDescent="0.3">
      <c r="A3" s="2" t="s">
        <v>511</v>
      </c>
      <c r="B3" s="2" t="s">
        <v>472</v>
      </c>
      <c r="C3" s="2" t="s">
        <v>69</v>
      </c>
      <c r="D3" s="2" t="s">
        <v>473</v>
      </c>
      <c r="E3" s="2" t="s">
        <v>474</v>
      </c>
      <c r="F3" s="2" t="s">
        <v>512</v>
      </c>
      <c r="G3" s="2" t="s">
        <v>513</v>
      </c>
      <c r="H3" s="2" t="s">
        <v>514</v>
      </c>
    </row>
    <row r="4" spans="1:8" x14ac:dyDescent="0.3">
      <c r="A4" s="1" t="s">
        <v>515</v>
      </c>
      <c r="B4" s="1" t="s">
        <v>479</v>
      </c>
      <c r="C4" s="1" t="s">
        <v>227</v>
      </c>
      <c r="D4" s="1" t="s">
        <v>21</v>
      </c>
      <c r="E4" s="1" t="s">
        <v>127</v>
      </c>
      <c r="F4" s="1" t="s">
        <v>261</v>
      </c>
      <c r="G4" s="1" t="s">
        <v>471</v>
      </c>
      <c r="H4" s="1" t="s">
        <v>314</v>
      </c>
    </row>
    <row r="5" spans="1:8" x14ac:dyDescent="0.3">
      <c r="A5" s="1" t="s">
        <v>516</v>
      </c>
      <c r="B5" s="1" t="s">
        <v>481</v>
      </c>
      <c r="C5" s="1" t="s">
        <v>233</v>
      </c>
      <c r="D5" s="1" t="s">
        <v>24</v>
      </c>
      <c r="E5" s="1" t="s">
        <v>264</v>
      </c>
      <c r="F5" s="1" t="s">
        <v>517</v>
      </c>
      <c r="G5" s="1" t="s">
        <v>267</v>
      </c>
      <c r="H5" s="1" t="s">
        <v>314</v>
      </c>
    </row>
    <row r="6" spans="1:8" x14ac:dyDescent="0.3">
      <c r="A6" s="1" t="s">
        <v>518</v>
      </c>
      <c r="B6" s="1" t="s">
        <v>483</v>
      </c>
      <c r="C6" s="1" t="s">
        <v>236</v>
      </c>
      <c r="D6" s="1" t="s">
        <v>30</v>
      </c>
      <c r="E6" s="1" t="s">
        <v>265</v>
      </c>
      <c r="F6" s="1" t="s">
        <v>517</v>
      </c>
      <c r="G6" s="6">
        <v>46027</v>
      </c>
      <c r="H6" s="1" t="s">
        <v>314</v>
      </c>
    </row>
    <row r="7" spans="1:8" x14ac:dyDescent="0.3">
      <c r="A7" s="1" t="s">
        <v>519</v>
      </c>
      <c r="B7" s="1" t="s">
        <v>485</v>
      </c>
      <c r="C7" s="1" t="s">
        <v>238</v>
      </c>
      <c r="D7" s="1" t="s">
        <v>30</v>
      </c>
      <c r="E7" s="1" t="s">
        <v>265</v>
      </c>
      <c r="F7" s="6">
        <v>45992</v>
      </c>
      <c r="G7" s="6">
        <v>46028</v>
      </c>
      <c r="H7" s="1" t="s">
        <v>314</v>
      </c>
    </row>
    <row r="8" spans="1:8" x14ac:dyDescent="0.3">
      <c r="A8" s="1" t="s">
        <v>520</v>
      </c>
      <c r="B8" s="1" t="s">
        <v>487</v>
      </c>
      <c r="C8" s="1" t="s">
        <v>240</v>
      </c>
      <c r="D8" s="1" t="s">
        <v>33</v>
      </c>
      <c r="E8" s="1" t="s">
        <v>147</v>
      </c>
      <c r="F8" s="1">
        <v>300</v>
      </c>
      <c r="G8" s="1">
        <v>128</v>
      </c>
      <c r="H8" s="1" t="s">
        <v>314</v>
      </c>
    </row>
    <row r="9" spans="1:8" x14ac:dyDescent="0.3">
      <c r="A9" s="1" t="s">
        <v>521</v>
      </c>
      <c r="B9" s="1" t="s">
        <v>489</v>
      </c>
      <c r="C9" s="1" t="s">
        <v>242</v>
      </c>
      <c r="D9" s="1" t="s">
        <v>33</v>
      </c>
      <c r="E9" s="1" t="s">
        <v>152</v>
      </c>
      <c r="F9" s="1">
        <v>200</v>
      </c>
      <c r="G9" s="1">
        <v>80</v>
      </c>
      <c r="H9" s="1" t="s">
        <v>314</v>
      </c>
    </row>
    <row r="10" spans="1:8" x14ac:dyDescent="0.3">
      <c r="A10" s="1" t="s">
        <v>522</v>
      </c>
      <c r="B10" s="1" t="s">
        <v>491</v>
      </c>
      <c r="C10" s="1" t="s">
        <v>244</v>
      </c>
      <c r="D10" s="1" t="s">
        <v>33</v>
      </c>
      <c r="E10" s="1" t="s">
        <v>147</v>
      </c>
      <c r="F10" s="1">
        <v>70</v>
      </c>
      <c r="G10" s="1">
        <v>120</v>
      </c>
      <c r="H10" s="1" t="s">
        <v>314</v>
      </c>
    </row>
    <row r="11" spans="1:8" x14ac:dyDescent="0.3">
      <c r="A11" s="1" t="s">
        <v>523</v>
      </c>
      <c r="B11" s="1" t="s">
        <v>493</v>
      </c>
      <c r="C11" s="1" t="s">
        <v>246</v>
      </c>
      <c r="D11" s="1" t="s">
        <v>37</v>
      </c>
      <c r="E11" s="1" t="s">
        <v>166</v>
      </c>
      <c r="F11" s="1">
        <v>25</v>
      </c>
      <c r="G11" s="1">
        <v>8.1999999999999993</v>
      </c>
      <c r="H11" s="1" t="s">
        <v>314</v>
      </c>
    </row>
    <row r="12" spans="1:8" x14ac:dyDescent="0.3">
      <c r="A12" s="1" t="s">
        <v>524</v>
      </c>
      <c r="B12" s="1" t="s">
        <v>495</v>
      </c>
      <c r="C12" s="1" t="s">
        <v>248</v>
      </c>
      <c r="D12" s="1" t="s">
        <v>46</v>
      </c>
      <c r="E12" s="1" t="s">
        <v>317</v>
      </c>
      <c r="F12" s="6">
        <v>46086</v>
      </c>
      <c r="G12" s="6">
        <v>46093</v>
      </c>
      <c r="H12" s="1" t="s">
        <v>314</v>
      </c>
    </row>
    <row r="13" spans="1:8" x14ac:dyDescent="0.3">
      <c r="A13" s="1" t="s">
        <v>525</v>
      </c>
      <c r="B13" s="1" t="s">
        <v>497</v>
      </c>
      <c r="C13" s="1" t="s">
        <v>250</v>
      </c>
      <c r="D13" s="1" t="s">
        <v>50</v>
      </c>
      <c r="E13" s="1" t="s">
        <v>339</v>
      </c>
      <c r="F13" s="13">
        <v>1.2</v>
      </c>
      <c r="G13" s="13">
        <v>0.95</v>
      </c>
      <c r="H13" s="1" t="s">
        <v>314</v>
      </c>
    </row>
  </sheetData>
  <mergeCells count="1">
    <mergeCell ref="A1:H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J13"/>
  <sheetViews>
    <sheetView workbookViewId="0">
      <selection sqref="A1:J1"/>
    </sheetView>
  </sheetViews>
  <sheetFormatPr defaultRowHeight="14.4" x14ac:dyDescent="0.3"/>
  <cols>
    <col min="1" max="1" width="8.88671875" customWidth="1"/>
    <col min="2" max="2" width="10.6640625" customWidth="1"/>
    <col min="3" max="3" width="15.109375" customWidth="1"/>
    <col min="4" max="4" width="29.5546875" customWidth="1"/>
    <col min="5" max="5" width="28" customWidth="1"/>
    <col min="6" max="6" width="15.77734375" customWidth="1"/>
    <col min="7" max="7" width="11.44140625" customWidth="1"/>
    <col min="8" max="8" width="12.6640625" customWidth="1"/>
    <col min="9" max="9" width="13.5546875" customWidth="1"/>
    <col min="10" max="10" width="40.6640625" customWidth="1"/>
  </cols>
  <sheetData>
    <row r="1" spans="1:10" ht="17.399999999999999" x14ac:dyDescent="0.3">
      <c r="A1" s="14" t="s">
        <v>591</v>
      </c>
      <c r="B1" s="14"/>
      <c r="C1" s="14"/>
      <c r="D1" s="14"/>
      <c r="E1" s="14"/>
      <c r="F1" s="14"/>
      <c r="G1" s="14"/>
      <c r="H1" s="14"/>
      <c r="I1" s="14"/>
      <c r="J1" s="14"/>
    </row>
    <row r="3" spans="1:10" x14ac:dyDescent="0.3">
      <c r="A3" s="2" t="s">
        <v>592</v>
      </c>
      <c r="B3" s="2" t="s">
        <v>69</v>
      </c>
      <c r="C3" s="2" t="s">
        <v>473</v>
      </c>
      <c r="D3" s="2" t="s">
        <v>593</v>
      </c>
      <c r="E3" s="2" t="s">
        <v>613</v>
      </c>
      <c r="F3" s="2" t="s">
        <v>594</v>
      </c>
      <c r="G3" s="2" t="s">
        <v>595</v>
      </c>
      <c r="H3" s="2" t="s">
        <v>596</v>
      </c>
      <c r="I3" s="2" t="s">
        <v>597</v>
      </c>
      <c r="J3" s="2" t="s">
        <v>533</v>
      </c>
    </row>
    <row r="4" spans="1:10" x14ac:dyDescent="0.3">
      <c r="A4" s="1" t="s">
        <v>598</v>
      </c>
      <c r="B4" s="1" t="s">
        <v>227</v>
      </c>
      <c r="C4" s="1" t="s">
        <v>24</v>
      </c>
      <c r="D4" s="1" t="s">
        <v>267</v>
      </c>
      <c r="E4" s="1" t="s">
        <v>267</v>
      </c>
      <c r="F4" s="1" t="s">
        <v>24</v>
      </c>
      <c r="G4" s="1" t="s">
        <v>599</v>
      </c>
      <c r="H4" s="1" t="s">
        <v>314</v>
      </c>
      <c r="I4" s="1" t="s">
        <v>600</v>
      </c>
      <c r="J4" s="1" t="s">
        <v>601</v>
      </c>
    </row>
    <row r="5" spans="1:10" x14ac:dyDescent="0.3">
      <c r="A5" s="1" t="s">
        <v>602</v>
      </c>
      <c r="B5" s="1" t="s">
        <v>236</v>
      </c>
      <c r="C5" s="1" t="s">
        <v>24</v>
      </c>
      <c r="D5" s="1" t="s">
        <v>269</v>
      </c>
      <c r="E5" s="1" t="s">
        <v>269</v>
      </c>
      <c r="F5" s="1" t="s">
        <v>24</v>
      </c>
      <c r="G5" s="1" t="s">
        <v>599</v>
      </c>
      <c r="H5" s="1" t="s">
        <v>314</v>
      </c>
      <c r="I5" s="1" t="s">
        <v>600</v>
      </c>
      <c r="J5" s="1" t="s">
        <v>601</v>
      </c>
    </row>
    <row r="6" spans="1:10" x14ac:dyDescent="0.3">
      <c r="A6" s="1" t="s">
        <v>603</v>
      </c>
      <c r="B6" s="1" t="s">
        <v>240</v>
      </c>
      <c r="C6" s="1" t="s">
        <v>24</v>
      </c>
      <c r="D6" s="1" t="s">
        <v>270</v>
      </c>
      <c r="E6" s="1" t="s">
        <v>270</v>
      </c>
      <c r="F6" s="1" t="s">
        <v>24</v>
      </c>
      <c r="G6" s="1" t="s">
        <v>599</v>
      </c>
      <c r="H6" s="1" t="s">
        <v>314</v>
      </c>
      <c r="I6" s="1" t="s">
        <v>600</v>
      </c>
      <c r="J6" s="1" t="s">
        <v>601</v>
      </c>
    </row>
    <row r="7" spans="1:10" x14ac:dyDescent="0.3">
      <c r="A7" s="1" t="s">
        <v>604</v>
      </c>
      <c r="B7" s="1" t="s">
        <v>244</v>
      </c>
      <c r="C7" s="1" t="s">
        <v>24</v>
      </c>
      <c r="D7" s="1" t="s">
        <v>267</v>
      </c>
      <c r="E7" s="1" t="s">
        <v>267</v>
      </c>
      <c r="F7" s="1" t="s">
        <v>24</v>
      </c>
      <c r="G7" s="1" t="s">
        <v>599</v>
      </c>
      <c r="H7" s="1" t="s">
        <v>314</v>
      </c>
      <c r="I7" s="1" t="s">
        <v>600</v>
      </c>
      <c r="J7" s="1" t="s">
        <v>601</v>
      </c>
    </row>
    <row r="8" spans="1:10" x14ac:dyDescent="0.3">
      <c r="A8" s="1" t="s">
        <v>605</v>
      </c>
      <c r="B8" s="1" t="s">
        <v>248</v>
      </c>
      <c r="C8" s="1" t="s">
        <v>24</v>
      </c>
      <c r="D8" s="1" t="s">
        <v>271</v>
      </c>
      <c r="E8" s="1" t="s">
        <v>271</v>
      </c>
      <c r="F8" s="1" t="s">
        <v>24</v>
      </c>
      <c r="G8" s="1" t="s">
        <v>599</v>
      </c>
      <c r="H8" s="1" t="s">
        <v>314</v>
      </c>
      <c r="I8" s="1" t="s">
        <v>600</v>
      </c>
      <c r="J8" s="1" t="s">
        <v>601</v>
      </c>
    </row>
    <row r="9" spans="1:10" x14ac:dyDescent="0.3">
      <c r="A9" s="1" t="s">
        <v>606</v>
      </c>
      <c r="B9" s="1" t="s">
        <v>227</v>
      </c>
      <c r="C9" s="1" t="s">
        <v>46</v>
      </c>
      <c r="D9" s="1" t="s">
        <v>322</v>
      </c>
      <c r="E9" s="1" t="s">
        <v>322</v>
      </c>
      <c r="F9" s="1" t="s">
        <v>607</v>
      </c>
      <c r="G9" s="1" t="s">
        <v>599</v>
      </c>
      <c r="H9" s="1" t="s">
        <v>314</v>
      </c>
      <c r="I9" s="1" t="s">
        <v>600</v>
      </c>
      <c r="J9" s="1" t="s">
        <v>608</v>
      </c>
    </row>
    <row r="10" spans="1:10" x14ac:dyDescent="0.3">
      <c r="A10" s="1" t="s">
        <v>609</v>
      </c>
      <c r="B10" s="1" t="s">
        <v>233</v>
      </c>
      <c r="C10" s="1" t="s">
        <v>46</v>
      </c>
      <c r="D10" s="1" t="s">
        <v>327</v>
      </c>
      <c r="E10" s="1" t="s">
        <v>327</v>
      </c>
      <c r="F10" s="1" t="s">
        <v>607</v>
      </c>
      <c r="G10" s="1" t="s">
        <v>599</v>
      </c>
      <c r="H10" s="1" t="s">
        <v>314</v>
      </c>
      <c r="I10" s="1" t="s">
        <v>600</v>
      </c>
      <c r="J10" s="1" t="s">
        <v>608</v>
      </c>
    </row>
    <row r="11" spans="1:10" x14ac:dyDescent="0.3">
      <c r="A11" s="1" t="s">
        <v>610</v>
      </c>
      <c r="B11" s="1" t="s">
        <v>238</v>
      </c>
      <c r="C11" s="1" t="s">
        <v>46</v>
      </c>
      <c r="D11" s="1" t="s">
        <v>329</v>
      </c>
      <c r="E11" s="1" t="s">
        <v>329</v>
      </c>
      <c r="F11" s="1" t="s">
        <v>607</v>
      </c>
      <c r="G11" s="1" t="s">
        <v>599</v>
      </c>
      <c r="H11" s="1" t="s">
        <v>314</v>
      </c>
      <c r="I11" s="1" t="s">
        <v>600</v>
      </c>
      <c r="J11" s="1" t="s">
        <v>608</v>
      </c>
    </row>
    <row r="12" spans="1:10" x14ac:dyDescent="0.3">
      <c r="A12" s="1" t="s">
        <v>611</v>
      </c>
      <c r="B12" s="1" t="s">
        <v>244</v>
      </c>
      <c r="C12" s="1" t="s">
        <v>46</v>
      </c>
      <c r="D12" s="1" t="s">
        <v>332</v>
      </c>
      <c r="E12" s="1" t="s">
        <v>332</v>
      </c>
      <c r="F12" s="1" t="s">
        <v>607</v>
      </c>
      <c r="G12" s="1" t="s">
        <v>599</v>
      </c>
      <c r="H12" s="1" t="s">
        <v>314</v>
      </c>
      <c r="I12" s="1" t="s">
        <v>600</v>
      </c>
      <c r="J12" s="1" t="s">
        <v>608</v>
      </c>
    </row>
    <row r="13" spans="1:10" x14ac:dyDescent="0.3">
      <c r="A13" s="1" t="s">
        <v>612</v>
      </c>
      <c r="B13" s="1" t="s">
        <v>248</v>
      </c>
      <c r="C13" s="1" t="s">
        <v>46</v>
      </c>
      <c r="D13" s="1" t="s">
        <v>329</v>
      </c>
      <c r="E13" s="1" t="s">
        <v>329</v>
      </c>
      <c r="F13" s="1" t="s">
        <v>607</v>
      </c>
      <c r="G13" s="1" t="s">
        <v>599</v>
      </c>
      <c r="H13" s="1" t="s">
        <v>314</v>
      </c>
      <c r="I13" s="1" t="s">
        <v>600</v>
      </c>
      <c r="J13" s="1" t="s">
        <v>608</v>
      </c>
    </row>
  </sheetData>
  <mergeCells count="1">
    <mergeCell ref="A1:J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L13"/>
  <sheetViews>
    <sheetView workbookViewId="0">
      <selection sqref="A1:L1"/>
    </sheetView>
  </sheetViews>
  <sheetFormatPr defaultRowHeight="14.4" x14ac:dyDescent="0.3"/>
  <cols>
    <col min="1" max="1" width="15" customWidth="1"/>
    <col min="2" max="2" width="10.77734375" customWidth="1"/>
    <col min="3" max="3" width="19.21875" customWidth="1"/>
    <col min="4" max="4" width="16.44140625" customWidth="1"/>
    <col min="5" max="5" width="10.33203125" customWidth="1"/>
    <col min="6" max="6" width="13" customWidth="1"/>
    <col min="7" max="7" width="19.33203125" customWidth="1"/>
    <col min="8" max="8" width="20.33203125" customWidth="1"/>
    <col min="9" max="9" width="51.6640625" customWidth="1"/>
    <col min="10" max="10" width="58.21875" customWidth="1"/>
    <col min="11" max="11" width="16" customWidth="1"/>
    <col min="12" max="12" width="11.44140625" customWidth="1"/>
  </cols>
  <sheetData>
    <row r="1" spans="1:12" ht="17.399999999999999" x14ac:dyDescent="0.3">
      <c r="A1" s="14" t="s">
        <v>614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3" spans="1:12" x14ac:dyDescent="0.3">
      <c r="A3" s="2" t="s">
        <v>615</v>
      </c>
      <c r="B3" s="2" t="s">
        <v>69</v>
      </c>
      <c r="C3" s="2" t="s">
        <v>616</v>
      </c>
      <c r="D3" s="2" t="s">
        <v>617</v>
      </c>
      <c r="E3" s="2" t="s">
        <v>618</v>
      </c>
      <c r="F3" s="2" t="s">
        <v>619</v>
      </c>
      <c r="G3" s="2" t="s">
        <v>620</v>
      </c>
      <c r="H3" s="2" t="s">
        <v>621</v>
      </c>
      <c r="I3" s="2" t="s">
        <v>533</v>
      </c>
      <c r="J3" s="2" t="s">
        <v>637</v>
      </c>
      <c r="K3" s="2" t="s">
        <v>66</v>
      </c>
      <c r="L3" s="2" t="s">
        <v>638</v>
      </c>
    </row>
    <row r="4" spans="1:12" x14ac:dyDescent="0.3">
      <c r="A4" s="1" t="s">
        <v>622</v>
      </c>
      <c r="B4" s="1" t="s">
        <v>227</v>
      </c>
      <c r="C4" s="1" t="s">
        <v>623</v>
      </c>
      <c r="D4" s="1" t="s">
        <v>166</v>
      </c>
      <c r="E4" s="1">
        <v>8.1999999999999993</v>
      </c>
      <c r="F4" s="1">
        <v>8.1999999999999993</v>
      </c>
      <c r="G4" s="1" t="s">
        <v>624</v>
      </c>
      <c r="H4" s="1" t="s">
        <v>12</v>
      </c>
      <c r="I4" s="1" t="s">
        <v>625</v>
      </c>
      <c r="J4" s="1" t="s">
        <v>639</v>
      </c>
      <c r="K4" s="1" t="s">
        <v>12</v>
      </c>
      <c r="L4" s="1" t="s">
        <v>640</v>
      </c>
    </row>
    <row r="5" spans="1:12" x14ac:dyDescent="0.3">
      <c r="A5" s="1" t="s">
        <v>626</v>
      </c>
      <c r="B5" s="1" t="s">
        <v>233</v>
      </c>
      <c r="C5" s="1" t="s">
        <v>623</v>
      </c>
      <c r="D5" s="1" t="s">
        <v>166</v>
      </c>
      <c r="E5" s="1">
        <v>7.8</v>
      </c>
      <c r="F5" s="1">
        <v>7.8</v>
      </c>
      <c r="G5" s="1" t="s">
        <v>624</v>
      </c>
      <c r="H5" s="1" t="s">
        <v>12</v>
      </c>
      <c r="I5" s="1" t="s">
        <v>625</v>
      </c>
      <c r="J5" s="1" t="s">
        <v>639</v>
      </c>
      <c r="K5" s="1" t="s">
        <v>12</v>
      </c>
      <c r="L5" s="1" t="s">
        <v>640</v>
      </c>
    </row>
    <row r="6" spans="1:12" ht="43.2" x14ac:dyDescent="0.3">
      <c r="A6" s="1" t="s">
        <v>627</v>
      </c>
      <c r="B6" s="1" t="s">
        <v>236</v>
      </c>
      <c r="C6" s="1" t="s">
        <v>623</v>
      </c>
      <c r="D6" s="1" t="s">
        <v>166</v>
      </c>
      <c r="E6" s="1">
        <v>8.5</v>
      </c>
      <c r="F6" s="1">
        <v>8.6</v>
      </c>
      <c r="G6" s="1" t="s">
        <v>628</v>
      </c>
      <c r="H6" s="1" t="s">
        <v>25</v>
      </c>
      <c r="I6" s="1" t="s">
        <v>629</v>
      </c>
      <c r="J6" s="4" t="s">
        <v>641</v>
      </c>
      <c r="K6" s="1" t="s">
        <v>25</v>
      </c>
      <c r="L6" s="1" t="s">
        <v>510</v>
      </c>
    </row>
    <row r="7" spans="1:12" x14ac:dyDescent="0.3">
      <c r="A7" s="1" t="s">
        <v>630</v>
      </c>
      <c r="B7" s="1" t="s">
        <v>238</v>
      </c>
      <c r="C7" s="1" t="s">
        <v>623</v>
      </c>
      <c r="D7" s="1" t="s">
        <v>166</v>
      </c>
      <c r="E7" s="1">
        <v>7.6</v>
      </c>
      <c r="F7" s="1">
        <v>7.6</v>
      </c>
      <c r="G7" s="1" t="s">
        <v>624</v>
      </c>
      <c r="H7" s="1" t="s">
        <v>12</v>
      </c>
      <c r="I7" s="1" t="s">
        <v>625</v>
      </c>
      <c r="J7" s="1" t="s">
        <v>639</v>
      </c>
      <c r="K7" s="1" t="s">
        <v>12</v>
      </c>
      <c r="L7" s="1" t="s">
        <v>640</v>
      </c>
    </row>
    <row r="8" spans="1:12" x14ac:dyDescent="0.3">
      <c r="A8" s="1" t="s">
        <v>631</v>
      </c>
      <c r="B8" s="1" t="s">
        <v>240</v>
      </c>
      <c r="C8" s="1" t="s">
        <v>623</v>
      </c>
      <c r="D8" s="1" t="s">
        <v>166</v>
      </c>
      <c r="E8" s="1">
        <v>8.9</v>
      </c>
      <c r="F8" s="1">
        <v>8.9</v>
      </c>
      <c r="G8" s="1" t="s">
        <v>624</v>
      </c>
      <c r="H8" s="1" t="s">
        <v>12</v>
      </c>
      <c r="I8" s="1" t="s">
        <v>625</v>
      </c>
      <c r="J8" s="1" t="s">
        <v>639</v>
      </c>
      <c r="K8" s="1" t="s">
        <v>12</v>
      </c>
      <c r="L8" s="1" t="s">
        <v>640</v>
      </c>
    </row>
    <row r="9" spans="1:12" x14ac:dyDescent="0.3">
      <c r="A9" s="1" t="s">
        <v>632</v>
      </c>
      <c r="B9" s="1" t="s">
        <v>242</v>
      </c>
      <c r="C9" s="1" t="s">
        <v>623</v>
      </c>
      <c r="D9" s="1" t="s">
        <v>166</v>
      </c>
      <c r="E9" s="1">
        <v>7.9</v>
      </c>
      <c r="F9" s="1">
        <v>7.9</v>
      </c>
      <c r="G9" s="1" t="s">
        <v>624</v>
      </c>
      <c r="H9" s="1" t="s">
        <v>12</v>
      </c>
      <c r="I9" s="1" t="s">
        <v>625</v>
      </c>
      <c r="J9" s="1" t="s">
        <v>639</v>
      </c>
      <c r="K9" s="1" t="s">
        <v>12</v>
      </c>
      <c r="L9" s="1" t="s">
        <v>640</v>
      </c>
    </row>
    <row r="10" spans="1:12" x14ac:dyDescent="0.3">
      <c r="A10" s="1" t="s">
        <v>633</v>
      </c>
      <c r="B10" s="1" t="s">
        <v>244</v>
      </c>
      <c r="C10" s="1" t="s">
        <v>623</v>
      </c>
      <c r="D10" s="1" t="s">
        <v>166</v>
      </c>
      <c r="E10" s="1">
        <v>8.3000000000000007</v>
      </c>
      <c r="F10" s="1">
        <v>8.3000000000000007</v>
      </c>
      <c r="G10" s="1" t="s">
        <v>624</v>
      </c>
      <c r="H10" s="1" t="s">
        <v>12</v>
      </c>
      <c r="I10" s="1" t="s">
        <v>625</v>
      </c>
      <c r="J10" s="1" t="s">
        <v>639</v>
      </c>
      <c r="K10" s="1" t="s">
        <v>12</v>
      </c>
      <c r="L10" s="1" t="s">
        <v>640</v>
      </c>
    </row>
    <row r="11" spans="1:12" x14ac:dyDescent="0.3">
      <c r="A11" s="1" t="s">
        <v>634</v>
      </c>
      <c r="B11" s="1" t="s">
        <v>246</v>
      </c>
      <c r="C11" s="1" t="s">
        <v>623</v>
      </c>
      <c r="D11" s="1" t="s">
        <v>166</v>
      </c>
      <c r="E11" s="1">
        <v>7.5</v>
      </c>
      <c r="F11" s="1">
        <v>7.5</v>
      </c>
      <c r="G11" s="1" t="s">
        <v>624</v>
      </c>
      <c r="H11" s="1" t="s">
        <v>12</v>
      </c>
      <c r="I11" s="1" t="s">
        <v>625</v>
      </c>
      <c r="J11" s="1" t="s">
        <v>639</v>
      </c>
      <c r="K11" s="1" t="s">
        <v>12</v>
      </c>
      <c r="L11" s="1" t="s">
        <v>640</v>
      </c>
    </row>
    <row r="12" spans="1:12" x14ac:dyDescent="0.3">
      <c r="A12" s="1" t="s">
        <v>635</v>
      </c>
      <c r="B12" s="1" t="s">
        <v>248</v>
      </c>
      <c r="C12" s="1" t="s">
        <v>623</v>
      </c>
      <c r="D12" s="1" t="s">
        <v>166</v>
      </c>
      <c r="E12" s="1">
        <v>8.1</v>
      </c>
      <c r="F12" s="1">
        <v>8.1</v>
      </c>
      <c r="G12" s="1" t="s">
        <v>624</v>
      </c>
      <c r="H12" s="1" t="s">
        <v>12</v>
      </c>
      <c r="I12" s="1" t="s">
        <v>625</v>
      </c>
      <c r="J12" s="1" t="s">
        <v>639</v>
      </c>
      <c r="K12" s="1" t="s">
        <v>12</v>
      </c>
      <c r="L12" s="1" t="s">
        <v>640</v>
      </c>
    </row>
    <row r="13" spans="1:12" x14ac:dyDescent="0.3">
      <c r="A13" s="1" t="s">
        <v>636</v>
      </c>
      <c r="B13" s="1" t="s">
        <v>250</v>
      </c>
      <c r="C13" s="1" t="s">
        <v>623</v>
      </c>
      <c r="D13" s="1" t="s">
        <v>166</v>
      </c>
      <c r="E13" s="1">
        <v>7.7</v>
      </c>
      <c r="F13" s="1">
        <v>7.7</v>
      </c>
      <c r="G13" s="1" t="s">
        <v>624</v>
      </c>
      <c r="H13" s="1" t="s">
        <v>12</v>
      </c>
      <c r="I13" s="1" t="s">
        <v>625</v>
      </c>
      <c r="J13" s="1" t="s">
        <v>639</v>
      </c>
      <c r="K13" s="1" t="s">
        <v>12</v>
      </c>
      <c r="L13" s="1" t="s">
        <v>640</v>
      </c>
    </row>
  </sheetData>
  <mergeCells count="1">
    <mergeCell ref="A1:L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13"/>
  <sheetViews>
    <sheetView workbookViewId="0">
      <selection sqref="A1:I1"/>
    </sheetView>
  </sheetViews>
  <sheetFormatPr defaultRowHeight="14.4" x14ac:dyDescent="0.3"/>
  <cols>
    <col min="2" max="2" width="9.77734375" customWidth="1"/>
    <col min="3" max="3" width="20.5546875" customWidth="1"/>
    <col min="4" max="4" width="51.6640625" customWidth="1"/>
    <col min="5" max="5" width="15.44140625" customWidth="1"/>
    <col min="6" max="6" width="20.33203125" customWidth="1"/>
    <col min="7" max="7" width="16.21875" customWidth="1"/>
    <col min="8" max="8" width="13.33203125" customWidth="1"/>
    <col min="9" max="9" width="42.88671875" customWidth="1"/>
  </cols>
  <sheetData>
    <row r="1" spans="1:9" ht="17.399999999999999" x14ac:dyDescent="0.3">
      <c r="A1" s="15" t="s">
        <v>642</v>
      </c>
      <c r="B1" s="15"/>
      <c r="C1" s="15"/>
      <c r="D1" s="15"/>
      <c r="E1" s="15"/>
      <c r="F1" s="15"/>
      <c r="G1" s="15"/>
      <c r="H1" s="15"/>
      <c r="I1" s="15"/>
    </row>
    <row r="3" spans="1:9" x14ac:dyDescent="0.3">
      <c r="A3" s="2" t="s">
        <v>643</v>
      </c>
      <c r="B3" s="2" t="s">
        <v>69</v>
      </c>
      <c r="C3" s="2" t="s">
        <v>644</v>
      </c>
      <c r="D3" s="2" t="s">
        <v>645</v>
      </c>
      <c r="E3" s="2" t="s">
        <v>646</v>
      </c>
      <c r="F3" s="2" t="s">
        <v>621</v>
      </c>
      <c r="G3" s="2" t="s">
        <v>66</v>
      </c>
      <c r="H3" s="2" t="s">
        <v>647</v>
      </c>
      <c r="I3" s="2" t="s">
        <v>648</v>
      </c>
    </row>
    <row r="4" spans="1:9" x14ac:dyDescent="0.3">
      <c r="A4" s="1" t="s">
        <v>649</v>
      </c>
      <c r="B4" s="1" t="s">
        <v>227</v>
      </c>
      <c r="C4" s="1" t="s">
        <v>650</v>
      </c>
      <c r="D4" s="1" t="s">
        <v>651</v>
      </c>
      <c r="E4" s="1" t="s">
        <v>652</v>
      </c>
      <c r="F4" s="1" t="s">
        <v>12</v>
      </c>
      <c r="G4" s="1" t="s">
        <v>12</v>
      </c>
      <c r="H4" s="1" t="s">
        <v>314</v>
      </c>
      <c r="I4" s="1" t="s">
        <v>653</v>
      </c>
    </row>
    <row r="5" spans="1:9" x14ac:dyDescent="0.3">
      <c r="A5" s="1" t="s">
        <v>654</v>
      </c>
      <c r="B5" s="1" t="s">
        <v>233</v>
      </c>
      <c r="C5" s="1" t="s">
        <v>655</v>
      </c>
      <c r="D5" s="1" t="s">
        <v>656</v>
      </c>
      <c r="E5" s="1" t="s">
        <v>652</v>
      </c>
      <c r="F5" s="1" t="s">
        <v>12</v>
      </c>
      <c r="G5" s="1" t="s">
        <v>12</v>
      </c>
      <c r="H5" s="1" t="s">
        <v>314</v>
      </c>
      <c r="I5" s="1" t="s">
        <v>657</v>
      </c>
    </row>
    <row r="6" spans="1:9" x14ac:dyDescent="0.3">
      <c r="A6" s="1" t="s">
        <v>658</v>
      </c>
      <c r="B6" s="1" t="s">
        <v>236</v>
      </c>
      <c r="C6" s="1" t="s">
        <v>21</v>
      </c>
      <c r="D6" s="1" t="s">
        <v>659</v>
      </c>
      <c r="E6" s="1" t="s">
        <v>652</v>
      </c>
      <c r="F6" s="1" t="s">
        <v>12</v>
      </c>
      <c r="G6" s="1" t="s">
        <v>12</v>
      </c>
      <c r="H6" s="1" t="s">
        <v>314</v>
      </c>
      <c r="I6" s="1" t="s">
        <v>660</v>
      </c>
    </row>
    <row r="7" spans="1:9" x14ac:dyDescent="0.3">
      <c r="A7" s="1" t="s">
        <v>661</v>
      </c>
      <c r="B7" s="1" t="s">
        <v>238</v>
      </c>
      <c r="C7" s="1" t="s">
        <v>24</v>
      </c>
      <c r="D7" s="1" t="s">
        <v>662</v>
      </c>
      <c r="E7" s="1" t="s">
        <v>652</v>
      </c>
      <c r="F7" s="1" t="s">
        <v>12</v>
      </c>
      <c r="G7" s="1" t="s">
        <v>12</v>
      </c>
      <c r="H7" s="1" t="s">
        <v>314</v>
      </c>
      <c r="I7" s="1" t="s">
        <v>663</v>
      </c>
    </row>
    <row r="8" spans="1:9" x14ac:dyDescent="0.3">
      <c r="A8" s="1" t="s">
        <v>664</v>
      </c>
      <c r="B8" s="1" t="s">
        <v>240</v>
      </c>
      <c r="C8" s="1" t="s">
        <v>30</v>
      </c>
      <c r="D8" s="1" t="s">
        <v>665</v>
      </c>
      <c r="E8" s="1" t="s">
        <v>652</v>
      </c>
      <c r="F8" s="1" t="s">
        <v>12</v>
      </c>
      <c r="G8" s="1" t="s">
        <v>12</v>
      </c>
      <c r="H8" s="1" t="s">
        <v>314</v>
      </c>
      <c r="I8" s="1" t="s">
        <v>666</v>
      </c>
    </row>
    <row r="9" spans="1:9" x14ac:dyDescent="0.3">
      <c r="A9" s="1" t="s">
        <v>667</v>
      </c>
      <c r="B9" s="1" t="s">
        <v>242</v>
      </c>
      <c r="C9" s="1" t="s">
        <v>33</v>
      </c>
      <c r="D9" s="1" t="s">
        <v>668</v>
      </c>
      <c r="E9" s="1" t="s">
        <v>652</v>
      </c>
      <c r="F9" s="1" t="s">
        <v>12</v>
      </c>
      <c r="G9" s="1" t="s">
        <v>12</v>
      </c>
      <c r="H9" s="1" t="s">
        <v>314</v>
      </c>
      <c r="I9" s="1" t="s">
        <v>669</v>
      </c>
    </row>
    <row r="10" spans="1:9" x14ac:dyDescent="0.3">
      <c r="A10" s="1" t="s">
        <v>670</v>
      </c>
      <c r="B10" s="1" t="s">
        <v>244</v>
      </c>
      <c r="C10" s="1" t="s">
        <v>37</v>
      </c>
      <c r="D10" s="1" t="s">
        <v>671</v>
      </c>
      <c r="E10" s="1" t="s">
        <v>652</v>
      </c>
      <c r="F10" s="1" t="s">
        <v>12</v>
      </c>
      <c r="G10" s="1" t="s">
        <v>12</v>
      </c>
      <c r="H10" s="1" t="s">
        <v>314</v>
      </c>
      <c r="I10" s="1" t="s">
        <v>672</v>
      </c>
    </row>
    <row r="11" spans="1:9" x14ac:dyDescent="0.3">
      <c r="A11" s="1" t="s">
        <v>673</v>
      </c>
      <c r="B11" s="1" t="s">
        <v>246</v>
      </c>
      <c r="C11" s="1" t="s">
        <v>41</v>
      </c>
      <c r="D11" s="1" t="s">
        <v>674</v>
      </c>
      <c r="E11" s="1" t="s">
        <v>652</v>
      </c>
      <c r="F11" s="1" t="s">
        <v>12</v>
      </c>
      <c r="G11" s="1" t="s">
        <v>12</v>
      </c>
      <c r="H11" s="1" t="s">
        <v>314</v>
      </c>
      <c r="I11" s="1" t="s">
        <v>675</v>
      </c>
    </row>
    <row r="12" spans="1:9" x14ac:dyDescent="0.3">
      <c r="A12" s="1" t="s">
        <v>676</v>
      </c>
      <c r="B12" s="1" t="s">
        <v>248</v>
      </c>
      <c r="C12" s="1" t="s">
        <v>46</v>
      </c>
      <c r="D12" s="1" t="s">
        <v>677</v>
      </c>
      <c r="E12" s="1" t="s">
        <v>652</v>
      </c>
      <c r="F12" s="1" t="s">
        <v>12</v>
      </c>
      <c r="G12" s="1" t="s">
        <v>12</v>
      </c>
      <c r="H12" s="1" t="s">
        <v>314</v>
      </c>
      <c r="I12" s="1" t="s">
        <v>678</v>
      </c>
    </row>
    <row r="13" spans="1:9" x14ac:dyDescent="0.3">
      <c r="A13" s="1" t="s">
        <v>679</v>
      </c>
      <c r="B13" s="1" t="s">
        <v>250</v>
      </c>
      <c r="C13" s="1" t="s">
        <v>56</v>
      </c>
      <c r="D13" s="1" t="s">
        <v>680</v>
      </c>
      <c r="E13" s="1" t="s">
        <v>652</v>
      </c>
      <c r="F13" s="1" t="s">
        <v>12</v>
      </c>
      <c r="G13" s="1" t="s">
        <v>12</v>
      </c>
      <c r="H13" s="1" t="s">
        <v>314</v>
      </c>
      <c r="I13" s="1" t="s">
        <v>681</v>
      </c>
    </row>
  </sheetData>
  <mergeCells count="1">
    <mergeCell ref="A1:I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10"/>
  <sheetViews>
    <sheetView workbookViewId="0">
      <selection activeCell="B21" sqref="B21"/>
    </sheetView>
  </sheetViews>
  <sheetFormatPr defaultRowHeight="14.4" x14ac:dyDescent="0.3"/>
  <cols>
    <col min="2" max="2" width="25.5546875" customWidth="1"/>
    <col min="3" max="3" width="32.109375" customWidth="1"/>
    <col min="4" max="4" width="32.6640625" customWidth="1"/>
    <col min="5" max="5" width="34.77734375" customWidth="1"/>
    <col min="6" max="6" width="12.21875" customWidth="1"/>
    <col min="7" max="7" width="15" customWidth="1"/>
    <col min="8" max="8" width="42.6640625" customWidth="1"/>
  </cols>
  <sheetData>
    <row r="1" spans="1:8" ht="17.399999999999999" x14ac:dyDescent="0.3">
      <c r="A1" s="14" t="s">
        <v>682</v>
      </c>
      <c r="B1" s="14"/>
      <c r="C1" s="14"/>
      <c r="D1" s="14"/>
      <c r="E1" s="14"/>
      <c r="F1" s="14"/>
      <c r="G1" s="14"/>
      <c r="H1" s="14"/>
    </row>
    <row r="3" spans="1:8" x14ac:dyDescent="0.3">
      <c r="A3" s="2" t="s">
        <v>730</v>
      </c>
      <c r="B3" s="2" t="s">
        <v>683</v>
      </c>
      <c r="C3" s="2" t="s">
        <v>684</v>
      </c>
      <c r="D3" s="2" t="s">
        <v>685</v>
      </c>
      <c r="E3" s="2" t="s">
        <v>686</v>
      </c>
      <c r="F3" s="2" t="s">
        <v>6</v>
      </c>
      <c r="G3" s="2" t="s">
        <v>687</v>
      </c>
      <c r="H3" s="2" t="s">
        <v>533</v>
      </c>
    </row>
    <row r="4" spans="1:8" x14ac:dyDescent="0.3">
      <c r="A4" s="1" t="s">
        <v>688</v>
      </c>
      <c r="B4" s="1" t="s">
        <v>689</v>
      </c>
      <c r="C4" s="1" t="s">
        <v>690</v>
      </c>
      <c r="D4" s="1" t="s">
        <v>691</v>
      </c>
      <c r="E4" s="1" t="s">
        <v>692</v>
      </c>
      <c r="F4" s="1" t="s">
        <v>314</v>
      </c>
      <c r="G4" s="1" t="s">
        <v>693</v>
      </c>
      <c r="H4" s="1" t="s">
        <v>694</v>
      </c>
    </row>
    <row r="5" spans="1:8" x14ac:dyDescent="0.3">
      <c r="A5" s="1" t="s">
        <v>695</v>
      </c>
      <c r="B5" s="1" t="s">
        <v>696</v>
      </c>
      <c r="C5" s="1" t="s">
        <v>697</v>
      </c>
      <c r="D5" s="1" t="s">
        <v>698</v>
      </c>
      <c r="E5" s="1" t="s">
        <v>699</v>
      </c>
      <c r="F5" s="1" t="s">
        <v>314</v>
      </c>
      <c r="G5" s="1" t="s">
        <v>693</v>
      </c>
      <c r="H5" s="1" t="s">
        <v>700</v>
      </c>
    </row>
    <row r="6" spans="1:8" x14ac:dyDescent="0.3">
      <c r="A6" s="1" t="s">
        <v>701</v>
      </c>
      <c r="B6" s="1" t="s">
        <v>702</v>
      </c>
      <c r="C6" s="1" t="s">
        <v>703</v>
      </c>
      <c r="D6" s="1" t="s">
        <v>704</v>
      </c>
      <c r="E6" s="1" t="s">
        <v>705</v>
      </c>
      <c r="F6" s="1" t="s">
        <v>314</v>
      </c>
      <c r="G6" s="1" t="s">
        <v>600</v>
      </c>
      <c r="H6" s="1" t="s">
        <v>706</v>
      </c>
    </row>
    <row r="7" spans="1:8" x14ac:dyDescent="0.3">
      <c r="A7" s="1" t="s">
        <v>707</v>
      </c>
      <c r="B7" s="1" t="s">
        <v>708</v>
      </c>
      <c r="C7" s="1" t="s">
        <v>709</v>
      </c>
      <c r="D7" s="1" t="s">
        <v>710</v>
      </c>
      <c r="E7" s="1" t="s">
        <v>711</v>
      </c>
      <c r="F7" s="1" t="s">
        <v>314</v>
      </c>
      <c r="G7" s="1" t="s">
        <v>693</v>
      </c>
      <c r="H7" s="1" t="s">
        <v>712</v>
      </c>
    </row>
    <row r="8" spans="1:8" x14ac:dyDescent="0.3">
      <c r="A8" s="1" t="s">
        <v>713</v>
      </c>
      <c r="B8" s="1" t="s">
        <v>586</v>
      </c>
      <c r="C8" s="1" t="s">
        <v>714</v>
      </c>
      <c r="D8" s="1" t="s">
        <v>715</v>
      </c>
      <c r="E8" s="1" t="s">
        <v>716</v>
      </c>
      <c r="F8" s="1" t="s">
        <v>314</v>
      </c>
      <c r="G8" s="1" t="s">
        <v>693</v>
      </c>
      <c r="H8" s="1" t="s">
        <v>717</v>
      </c>
    </row>
    <row r="9" spans="1:8" x14ac:dyDescent="0.3">
      <c r="A9" s="1" t="s">
        <v>718</v>
      </c>
      <c r="B9" s="1" t="s">
        <v>719</v>
      </c>
      <c r="C9" s="1" t="s">
        <v>720</v>
      </c>
      <c r="D9" s="1" t="s">
        <v>721</v>
      </c>
      <c r="E9" s="1" t="s">
        <v>722</v>
      </c>
      <c r="F9" s="1" t="s">
        <v>314</v>
      </c>
      <c r="G9" s="1" t="s">
        <v>693</v>
      </c>
      <c r="H9" s="1" t="s">
        <v>723</v>
      </c>
    </row>
    <row r="10" spans="1:8" ht="28.8" x14ac:dyDescent="0.3">
      <c r="A10" s="1" t="s">
        <v>724</v>
      </c>
      <c r="B10" s="1" t="s">
        <v>725</v>
      </c>
      <c r="C10" s="1" t="s">
        <v>726</v>
      </c>
      <c r="D10" s="1" t="s">
        <v>727</v>
      </c>
      <c r="E10" s="1" t="s">
        <v>728</v>
      </c>
      <c r="F10" s="1" t="s">
        <v>314</v>
      </c>
      <c r="G10" s="1" t="s">
        <v>693</v>
      </c>
      <c r="H10" s="4" t="s">
        <v>729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EDC_Data_Overview</vt:lpstr>
      <vt:lpstr>Edit_Checks</vt:lpstr>
      <vt:lpstr>Edit_Check_Test</vt:lpstr>
      <vt:lpstr>UAT</vt:lpstr>
      <vt:lpstr>01_Demographics</vt:lpstr>
      <vt:lpstr>02_Consent</vt:lpstr>
      <vt:lpstr>03_Eligibility</vt:lpstr>
      <vt:lpstr>04_Medical_History</vt:lpstr>
      <vt:lpstr>05_Medications</vt:lpstr>
      <vt:lpstr>06_Vital_Signs</vt:lpstr>
      <vt:lpstr>07_Labs</vt:lpstr>
      <vt:lpstr>08_Efficacy</vt:lpstr>
      <vt:lpstr>09_AE</vt:lpstr>
      <vt:lpstr>10_Exposure</vt:lpstr>
      <vt:lpstr>11_Disposition</vt:lpstr>
      <vt:lpstr>Query_log</vt:lpstr>
      <vt:lpstr>Data_Cleaning</vt:lpstr>
      <vt:lpstr>Medical_Coding</vt:lpstr>
      <vt:lpstr>External_Data_Reconciliation</vt:lpstr>
      <vt:lpstr>Data_Review</vt:lpstr>
      <vt:lpstr>Database_Freeze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Lavita</dc:creator>
  <cp:lastModifiedBy>MUBASHIR MALICK</cp:lastModifiedBy>
  <dcterms:created xsi:type="dcterms:W3CDTF">2026-09-20T18:20:21Z</dcterms:created>
  <dcterms:modified xsi:type="dcterms:W3CDTF">2026-09-29T10:59:37Z</dcterms:modified>
</cp:coreProperties>
</file>